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ผล" sheetId="1" state="visible" r:id="rId1"/>
    <sheet xmlns:r="http://schemas.openxmlformats.org/officeDocument/2006/relationships" name="แผนการทดสอบ" sheetId="2" state="visible" r:id="rId2"/>
    <sheet xmlns:r="http://schemas.openxmlformats.org/officeDocument/2006/relationships" name="กลยุทธ์การทดสอบ" sheetId="3" state="visible" r:id="rId3"/>
    <sheet xmlns:r="http://schemas.openxmlformats.org/officeDocument/2006/relationships" name="Test Cases" sheetId="4" state="visible" r:id="rId4"/>
    <sheet xmlns:r="http://schemas.openxmlformats.org/officeDocument/2006/relationships" name="Defects" sheetId="5" state="visible" r:id="rId5"/>
  </sheets>
  <definedNames>
    <definedName name="_xlnm._FilterDatabase" localSheetId="3" hidden="1">'Test Cases'!$A$2:$P$59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%"/>
  </numFmts>
  <fonts count="12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10"/>
    </font>
    <font>
      <name val="Tahoma"/>
      <b val="1"/>
      <color rgb="001F2937"/>
      <sz val="9"/>
    </font>
    <font>
      <name val="Tahoma"/>
      <color rgb="001F2937"/>
      <sz val="9"/>
    </font>
    <font>
      <name val="Tahoma"/>
      <color rgb="001D4ED8"/>
      <sz val="9"/>
      <u val="single"/>
    </font>
    <font>
      <name val="Tahoma"/>
      <b val="1"/>
      <color rgb="00000099"/>
      <sz val="16"/>
    </font>
    <font>
      <name val="Tahoma"/>
      <color rgb="006B7280"/>
      <sz val="10"/>
    </font>
    <font>
      <name val="Tahoma"/>
      <b val="1"/>
      <color rgb="001F2937"/>
      <sz val="10"/>
    </font>
    <font>
      <name val="Tahoma"/>
      <color rgb="001F2937"/>
      <sz val="10"/>
    </font>
    <font>
      <name val="Tahoma"/>
      <i val="1"/>
      <color rgb="006B7280"/>
      <sz val="9"/>
    </font>
    <font>
      <name val="Tahoma"/>
      <b val="1"/>
      <color rgb="00000099"/>
      <sz val="12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9A3412"/>
      </patternFill>
    </fill>
    <fill>
      <patternFill patternType="solid">
        <fgColor rgb="00065F46"/>
      </patternFill>
    </fill>
    <fill>
      <patternFill patternType="solid">
        <fgColor rgb="00FEF9C3"/>
      </patternFill>
    </fill>
    <fill>
      <patternFill patternType="solid">
        <fgColor rgb="0000009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bottom" wrapText="1"/>
    </xf>
    <xf numFmtId="0" fontId="1" fillId="3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/Relationships>
</file>

<file path=xl/drawings/drawing1.xml><?xml version="1.0" encoding="utf-8"?>
<wsDr xmlns="http://schemas.openxmlformats.org/drawingml/2006/spreadsheetDrawing">
  <oneCellAnchor>
    <from>
      <col>14</col>
      <colOff>0</colOff>
      <row>2</row>
      <rowOff>0</rowOff>
    </from>
    <ext cx="30480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</row>
      <rowOff>0</rowOff>
    </from>
    <ext cx="3048000" cy="1714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</row>
      <rowOff>0</rowOff>
    </from>
    <ext cx="3048000" cy="1714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</row>
      <rowOff>0</rowOff>
    </from>
    <ext cx="3048000" cy="1714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</row>
      <rowOff>0</rowOff>
    </from>
    <ext cx="876300" cy="1905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</row>
      <rowOff>0</rowOff>
    </from>
    <ext cx="876300" cy="1905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8</row>
      <rowOff>0</rowOff>
    </from>
    <ext cx="3048000" cy="1714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9</row>
      <rowOff>0</rowOff>
    </from>
    <ext cx="3048000" cy="1714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</row>
      <rowOff>0</rowOff>
    </from>
    <ext cx="3048000" cy="1714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</row>
      <rowOff>0</rowOff>
    </from>
    <ext cx="3048000" cy="1714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</row>
      <rowOff>0</rowOff>
    </from>
    <ext cx="3048000" cy="1714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13</row>
      <rowOff>0</rowOff>
    </from>
    <ext cx="3048000" cy="1714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14</row>
      <rowOff>0</rowOff>
    </from>
    <ext cx="3048000" cy="1714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15</row>
      <rowOff>0</rowOff>
    </from>
    <ext cx="3048000" cy="1714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16</row>
      <rowOff>0</rowOff>
    </from>
    <ext cx="3048000" cy="1714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17</row>
      <rowOff>0</rowOff>
    </from>
    <ext cx="3048000" cy="1714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18</row>
      <rowOff>0</rowOff>
    </from>
    <ext cx="3048000" cy="1714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19</row>
      <rowOff>0</rowOff>
    </from>
    <ext cx="3048000" cy="1714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20</row>
      <rowOff>0</rowOff>
    </from>
    <ext cx="3048000" cy="1714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21</row>
      <rowOff>0</rowOff>
    </from>
    <ext cx="3048000" cy="1714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22</row>
      <rowOff>0</rowOff>
    </from>
    <ext cx="3048000" cy="1714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23</row>
      <rowOff>0</rowOff>
    </from>
    <ext cx="3048000" cy="1714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24</row>
      <rowOff>0</rowOff>
    </from>
    <ext cx="3048000" cy="1714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25</row>
      <rowOff>0</rowOff>
    </from>
    <ext cx="3048000" cy="1714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26</row>
      <rowOff>0</rowOff>
    </from>
    <ext cx="1076325" cy="1905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27</row>
      <rowOff>0</rowOff>
    </from>
    <ext cx="1066800" cy="1905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28</row>
      <rowOff>0</rowOff>
    </from>
    <ext cx="876300" cy="1905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29</row>
      <rowOff>0</rowOff>
    </from>
    <ext cx="1428750" cy="1905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30</row>
      <rowOff>0</rowOff>
    </from>
    <ext cx="3048000" cy="1714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31</row>
      <rowOff>0</rowOff>
    </from>
    <ext cx="3048000" cy="1714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32</row>
      <rowOff>0</rowOff>
    </from>
    <ext cx="3048000" cy="1714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33</row>
      <rowOff>0</rowOff>
    </from>
    <ext cx="3048000" cy="1714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34</row>
      <rowOff>0</rowOff>
    </from>
    <ext cx="3048000" cy="1714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35</row>
      <rowOff>0</rowOff>
    </from>
    <ext cx="876300" cy="1905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36</row>
      <rowOff>0</rowOff>
    </from>
    <ext cx="876300" cy="1905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37</row>
      <rowOff>0</rowOff>
    </from>
    <ext cx="876300" cy="1905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38</row>
      <rowOff>0</rowOff>
    </from>
    <ext cx="3048000" cy="1714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39</row>
      <rowOff>0</rowOff>
    </from>
    <ext cx="3048000" cy="1714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40</row>
      <rowOff>0</rowOff>
    </from>
    <ext cx="3048000" cy="1714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41</row>
      <rowOff>0</rowOff>
    </from>
    <ext cx="3048000" cy="1714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42</row>
      <rowOff>0</rowOff>
    </from>
    <ext cx="3048000" cy="1905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43</row>
      <rowOff>0</rowOff>
    </from>
    <ext cx="876300" cy="1905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44</row>
      <rowOff>0</rowOff>
    </from>
    <ext cx="3048000" cy="1714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45</row>
      <rowOff>0</rowOff>
    </from>
    <ext cx="3048000" cy="1714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46</row>
      <rowOff>0</rowOff>
    </from>
    <ext cx="3048000" cy="1714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47</row>
      <rowOff>0</rowOff>
    </from>
    <ext cx="1076325" cy="1905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48</row>
      <rowOff>0</rowOff>
    </from>
    <ext cx="3048000" cy="1714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49</row>
      <rowOff>0</rowOff>
    </from>
    <ext cx="3048000" cy="1714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50</row>
      <rowOff>0</rowOff>
    </from>
    <ext cx="3048000" cy="1714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51</row>
      <rowOff>0</rowOff>
    </from>
    <ext cx="3048000" cy="1905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52</row>
      <rowOff>0</rowOff>
    </from>
    <ext cx="3048000" cy="1905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53</row>
      <rowOff>0</rowOff>
    </from>
    <ext cx="3048000" cy="1905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54</row>
      <rowOff>0</rowOff>
    </from>
    <ext cx="3048000" cy="1714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55</row>
      <rowOff>0</rowOff>
    </from>
    <ext cx="3048000" cy="1714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56</row>
      <rowOff>0</rowOff>
    </from>
    <ext cx="3048000" cy="1714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57</row>
      <rowOff>0</rowOff>
    </from>
    <ext cx="3048000" cy="1714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58</row>
      <rowOff>0</rowOff>
    </from>
    <ext cx="3048000" cy="1714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evidence-ui/TC_UI_A11Y_001.png" TargetMode="External" Id="rId1"/><Relationship Type="http://schemas.openxmlformats.org/officeDocument/2006/relationships/hyperlink" Target="evidence-ui/TC_UI_A11Y_002.png" TargetMode="External" Id="rId2"/><Relationship Type="http://schemas.openxmlformats.org/officeDocument/2006/relationships/hyperlink" Target="evidence-ui/TC_UI_A11Y_003.png" TargetMode="External" Id="rId3"/><Relationship Type="http://schemas.openxmlformats.org/officeDocument/2006/relationships/hyperlink" Target="evidence-ui/TC_UI_A11Y_004.png" TargetMode="External" Id="rId4"/><Relationship Type="http://schemas.openxmlformats.org/officeDocument/2006/relationships/hyperlink" Target="evidence-ui/TC_UI_A11Y_005.png" TargetMode="External" Id="rId5"/><Relationship Type="http://schemas.openxmlformats.org/officeDocument/2006/relationships/hyperlink" Target="evidence-ui/TC_UI_A11Y_006.png" TargetMode="External" Id="rId6"/><Relationship Type="http://schemas.openxmlformats.org/officeDocument/2006/relationships/hyperlink" Target="evidence-ui/TC_UI_LOGIN_001.png" TargetMode="External" Id="rId7"/><Relationship Type="http://schemas.openxmlformats.org/officeDocument/2006/relationships/hyperlink" Target="evidence-ui/TC_UI_SADMIN_001.png" TargetMode="External" Id="rId8"/><Relationship Type="http://schemas.openxmlformats.org/officeDocument/2006/relationships/hyperlink" Target="evidence-ui/TC_UI_CONTRAST_001.png" TargetMode="External" Id="rId9"/><Relationship Type="http://schemas.openxmlformats.org/officeDocument/2006/relationships/hyperlink" Target="evidence-ui/TC_UI_CONTRAST_002.png" TargetMode="External" Id="rId10"/><Relationship Type="http://schemas.openxmlformats.org/officeDocument/2006/relationships/hyperlink" Target="evidence-ui/TC_UI_CONTRAST_003.png" TargetMode="External" Id="rId11"/><Relationship Type="http://schemas.openxmlformats.org/officeDocument/2006/relationships/hyperlink" Target="evidence-ui/TC_UI_CONTRAST_004.png" TargetMode="External" Id="rId12"/><Relationship Type="http://schemas.openxmlformats.org/officeDocument/2006/relationships/hyperlink" Target="evidence-ui/TC_UI_CONTRAST_005.png" TargetMode="External" Id="rId13"/><Relationship Type="http://schemas.openxmlformats.org/officeDocument/2006/relationships/hyperlink" Target="evidence-ui/TC_UI_CONTRAST_006.png" TargetMode="External" Id="rId14"/><Relationship Type="http://schemas.openxmlformats.org/officeDocument/2006/relationships/hyperlink" Target="evidence-ui/TC_UI_CONTRAST_007.png" TargetMode="External" Id="rId15"/><Relationship Type="http://schemas.openxmlformats.org/officeDocument/2006/relationships/hyperlink" Target="evidence-ui/TC_UI_CONTRAST_008.png" TargetMode="External" Id="rId16"/><Relationship Type="http://schemas.openxmlformats.org/officeDocument/2006/relationships/hyperlink" Target="evidence-ui/TC_UI_BILL_001.png" TargetMode="External" Id="rId17"/><Relationship Type="http://schemas.openxmlformats.org/officeDocument/2006/relationships/hyperlink" Target="evidence-ui/TC_UI_KEY_001.png" TargetMode="External" Id="rId18"/><Relationship Type="http://schemas.openxmlformats.org/officeDocument/2006/relationships/hyperlink" Target="evidence-ui/TC_UI_KEY_002.png" TargetMode="External" Id="rId19"/><Relationship Type="http://schemas.openxmlformats.org/officeDocument/2006/relationships/hyperlink" Target="evidence-ui/TC_UI_KEY_003.png" TargetMode="External" Id="rId20"/><Relationship Type="http://schemas.openxmlformats.org/officeDocument/2006/relationships/hyperlink" Target="evidence-ui/TC_UI_KEY_004.png" TargetMode="External" Id="rId21"/><Relationship Type="http://schemas.openxmlformats.org/officeDocument/2006/relationships/hyperlink" Target="evidence-ui/TC_UI_KEY_005.png" TargetMode="External" Id="rId22"/><Relationship Type="http://schemas.openxmlformats.org/officeDocument/2006/relationships/hyperlink" Target="evidence-ui/TC_UI_KEY_006.png" TargetMode="External" Id="rId23"/><Relationship Type="http://schemas.openxmlformats.org/officeDocument/2006/relationships/hyperlink" Target="evidence-ui/TC_UI_LEASE_001.png" TargetMode="External" Id="rId24"/><Relationship Type="http://schemas.openxmlformats.org/officeDocument/2006/relationships/hyperlink" Target="evidence-ui/TC_UI_MOB_001.png" TargetMode="External" Id="rId25"/><Relationship Type="http://schemas.openxmlformats.org/officeDocument/2006/relationships/hyperlink" Target="evidence-ui/TC_UI_MOB_002.png" TargetMode="External" Id="rId26"/><Relationship Type="http://schemas.openxmlformats.org/officeDocument/2006/relationships/hyperlink" Target="evidence-ui/TC_UI_MOB_003.png" TargetMode="External" Id="rId27"/><Relationship Type="http://schemas.openxmlformats.org/officeDocument/2006/relationships/hyperlink" Target="evidence-ui/TC_UI_MOB_004.png" TargetMode="External" Id="rId28"/><Relationship Type="http://schemas.openxmlformats.org/officeDocument/2006/relationships/hyperlink" Target="evidence-ui/TC_UI_PERF_001.png" TargetMode="External" Id="rId29"/><Relationship Type="http://schemas.openxmlformats.org/officeDocument/2006/relationships/hyperlink" Target="evidence-ui/TC_UI_PERF_002.png" TargetMode="External" Id="rId30"/><Relationship Type="http://schemas.openxmlformats.org/officeDocument/2006/relationships/hyperlink" Target="evidence-ui/TC_UI_PERF_003.png" TargetMode="External" Id="rId31"/><Relationship Type="http://schemas.openxmlformats.org/officeDocument/2006/relationships/hyperlink" Target="evidence-ui/TC_UI_PERF_004.png" TargetMode="External" Id="rId32"/><Relationship Type="http://schemas.openxmlformats.org/officeDocument/2006/relationships/hyperlink" Target="evidence-ui/TC_UI_PERF_005.png" TargetMode="External" Id="rId33"/><Relationship Type="http://schemas.openxmlformats.org/officeDocument/2006/relationships/hyperlink" Target="evidence-ui/TC_UI_RESP_001.png" TargetMode="External" Id="rId34"/><Relationship Type="http://schemas.openxmlformats.org/officeDocument/2006/relationships/hyperlink" Target="evidence-ui/TC_UI_RESP_002.png" TargetMode="External" Id="rId35"/><Relationship Type="http://schemas.openxmlformats.org/officeDocument/2006/relationships/hyperlink" Target="evidence-ui/TC_UI_RESP_003.png" TargetMode="External" Id="rId36"/><Relationship Type="http://schemas.openxmlformats.org/officeDocument/2006/relationships/hyperlink" Target="evidence-ui/TC_UI_SUB_001.png" TargetMode="External" Id="rId37"/><Relationship Type="http://schemas.openxmlformats.org/officeDocument/2006/relationships/hyperlink" Target="evidence-ui/TC_UI_SUB_002.png" TargetMode="External" Id="rId38"/><Relationship Type="http://schemas.openxmlformats.org/officeDocument/2006/relationships/hyperlink" Target="evidence-ui/TC_UI_SUB_003.png" TargetMode="External" Id="rId39"/><Relationship Type="http://schemas.openxmlformats.org/officeDocument/2006/relationships/hyperlink" Target="evidence-ui/TC_UI_SUB_004.png" TargetMode="External" Id="rId40"/><Relationship Type="http://schemas.openxmlformats.org/officeDocument/2006/relationships/hyperlink" Target="evidence-ui/TC_UI_RESP_004.png" TargetMode="External" Id="rId41"/><Relationship Type="http://schemas.openxmlformats.org/officeDocument/2006/relationships/hyperlink" Target="evidence-ui/TC_UI_MOB_005.png" TargetMode="External" Id="rId42"/><Relationship Type="http://schemas.openxmlformats.org/officeDocument/2006/relationships/hyperlink" Target="evidence-ui/TC_UI_A11Y_007.png" TargetMode="External" Id="rId43"/><Relationship Type="http://schemas.openxmlformats.org/officeDocument/2006/relationships/hyperlink" Target="evidence-ui/TC_UI_A11Y_008.png" TargetMode="External" Id="rId44"/><Relationship Type="http://schemas.openxmlformats.org/officeDocument/2006/relationships/hyperlink" Target="evidence-ui/TC_UI_A11Y_009.png" TargetMode="External" Id="rId45"/><Relationship Type="http://schemas.openxmlformats.org/officeDocument/2006/relationships/hyperlink" Target="evidence-ui/TC_UI_A11Y_010.png" TargetMode="External" Id="rId46"/><Relationship Type="http://schemas.openxmlformats.org/officeDocument/2006/relationships/hyperlink" Target="evidence-ui/TC_UI_SUB_005.png" TargetMode="External" Id="rId47"/><Relationship Type="http://schemas.openxmlformats.org/officeDocument/2006/relationships/hyperlink" Target="evidence-ui/TC_UI_SUB_006.png" TargetMode="External" Id="rId48"/><Relationship Type="http://schemas.openxmlformats.org/officeDocument/2006/relationships/hyperlink" Target="evidence-ui/TC_UI_SESSION_001.png" TargetMode="External" Id="rId49"/><Relationship Type="http://schemas.openxmlformats.org/officeDocument/2006/relationships/hyperlink" Target="evidence-ui/TC_UI_TABLE_001.png" TargetMode="External" Id="rId50"/><Relationship Type="http://schemas.openxmlformats.org/officeDocument/2006/relationships/hyperlink" Target="evidence-ui/TC_UI_TABLE_002.png" TargetMode="External" Id="rId51"/><Relationship Type="http://schemas.openxmlformats.org/officeDocument/2006/relationships/hyperlink" Target="evidence-ui/TC_UI_TABLE_003.png" TargetMode="External" Id="rId52"/><Relationship Type="http://schemas.openxmlformats.org/officeDocument/2006/relationships/hyperlink" Target="evidence-ui/TC_UI_OWNER_001.png" TargetMode="External" Id="rId53"/><Relationship Type="http://schemas.openxmlformats.org/officeDocument/2006/relationships/hyperlink" Target="evidence-ui/TC_UI_OWNER_002.png" TargetMode="External" Id="rId54"/><Relationship Type="http://schemas.openxmlformats.org/officeDocument/2006/relationships/hyperlink" Target="evidence-ui/TC_UI_OWNER_003.png" TargetMode="External" Id="rId55"/><Relationship Type="http://schemas.openxmlformats.org/officeDocument/2006/relationships/hyperlink" Target="evidence-ui/TC_UI_TENANT_001.png" TargetMode="External" Id="rId56"/><Relationship Type="http://schemas.openxmlformats.org/officeDocument/2006/relationships/hyperlink" Target="evidence-ui/TC_UI_TENANT_002.png" TargetMode="External" Id="rId57"/><Relationship Type="http://schemas.openxmlformats.org/officeDocument/2006/relationships/drawing" Target="/xl/drawings/drawing1.xm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2" ht="20.4" customHeight="1">
      <c r="B2" s="1" t="inlineStr">
        <is>
          <t>รายงานผลการทดสอบระบบ Nestly (Automated UI Testing)</t>
        </is>
      </c>
    </row>
    <row r="3">
      <c r="B3" s="2" t="inlineStr">
        <is>
          <t>ระบบบริหารหอพักแบบ SaaS — หน้าเจ้าของหอ ผู้เช่า และผู้ดูแลระบบ ทดสอบผ่านเบราว์เซอร์จริง (End-to-End)</t>
        </is>
      </c>
    </row>
    <row r="5">
      <c r="B5" s="3" t="inlineStr">
        <is>
          <t>รอบการทดสอบ</t>
        </is>
      </c>
      <c r="C5" s="4" t="inlineStr">
        <is>
          <t>2026-10-29 19:00 – 19:18 (4 รอบ ดูประวัติการรันด้านล่าง)</t>
        </is>
      </c>
    </row>
    <row r="6">
      <c r="B6" s="3" t="inlineStr">
        <is>
          <t>เครื่องมือ</t>
        </is>
      </c>
      <c r="C6" s="4" t="inlineStr">
        <is>
          <t>Playwright 1.62 (@playwright/test) + Chromium · Node.js 22.19</t>
        </is>
      </c>
    </row>
    <row r="7">
      <c r="B7" s="3" t="inlineStr">
        <is>
          <t>สภาพแวดล้อม</t>
        </is>
      </c>
      <c r="C7" s="4" t="inlineStr">
        <is>
          <t>DEV (127.0.0.1:3317 · next dev) · Chromium (Playwright 1.62) headless · 1280×720 · PostgreSQL 17.10 (nestly_test) · Windows 11</t>
        </is>
      </c>
    </row>
    <row r="8">
      <c r="B8" s="3" t="inlineStr">
        <is>
          <t>ผู้รับผิดชอบการทดสอบ</t>
        </is>
      </c>
      <c r="C8" s="5" t="inlineStr"/>
    </row>
    <row r="9">
      <c r="B9" s="3" t="inlineStr">
        <is>
          <t>รายงานละเอียด / หลักฐาน</t>
        </is>
      </c>
      <c r="C9" s="4" t="inlineStr">
        <is>
          <t>ภาพหน้าจอท้ายเคสอยู่ในโฟลเดอร์ evidence-ui/ (ชื่อไฟล์ = Test Case ID) และในคอลัมน์ O ของชีต Test Cases</t>
        </is>
      </c>
    </row>
    <row r="10">
      <c r="B10" s="6" t="inlineStr">
        <is>
          <t>ช่องสีเหลือง = ให้กรอกเอง · ตัวเลขด้านล่างเป็นสูตรที่นับจากชีต Test Cases (แก้คอลัมน์ Status แล้วตัวเลขเปลี่ยนตาม)</t>
        </is>
      </c>
    </row>
    <row r="12">
      <c r="B12" s="7" t="inlineStr">
        <is>
          <t>ภาพรวม</t>
        </is>
      </c>
    </row>
    <row r="13">
      <c r="B13" s="8" t="inlineStr">
        <is>
          <t>ตัวชี้วัด</t>
        </is>
      </c>
      <c r="C13" s="8" t="inlineStr">
        <is>
          <t>ทั้งหมด</t>
        </is>
      </c>
      <c r="D13" s="8" t="inlineStr">
        <is>
          <t>Pass</t>
        </is>
      </c>
      <c r="E13" s="8" t="inlineStr">
        <is>
          <t>Fail</t>
        </is>
      </c>
      <c r="F13" s="8" t="inlineStr">
        <is>
          <t>Block</t>
        </is>
      </c>
      <c r="G13" s="8" t="inlineStr">
        <is>
          <t>Untested</t>
        </is>
      </c>
      <c r="H13" s="8" t="inlineStr">
        <is>
          <t>อัตราผ่าน</t>
        </is>
      </c>
    </row>
    <row r="14" ht="18" customHeight="1">
      <c r="B14" s="9" t="inlineStr">
        <is>
          <t>จำนวนเคส</t>
        </is>
      </c>
      <c r="C14" s="10">
        <f>COUNTA('Test Cases'!$A$3:$A$300)</f>
        <v/>
      </c>
      <c r="D14" s="10">
        <f>COUNTIF('Test Cases'!$I$3:$I$300,"Pass")</f>
        <v/>
      </c>
      <c r="E14" s="10">
        <f>COUNTIF('Test Cases'!$I$3:$I$300,"Fail")</f>
        <v/>
      </c>
      <c r="F14" s="10">
        <f>COUNTIF('Test Cases'!$I$3:$I$300,"Block")</f>
        <v/>
      </c>
      <c r="G14" s="10">
        <f>COUNTIF('Test Cases'!$I$3:$I$300,"Untested")</f>
        <v/>
      </c>
      <c r="H14" s="11">
        <f>IF(C14-G14=0,0,D14/(C14-G14))</f>
        <v/>
      </c>
    </row>
    <row r="15">
      <c r="B15" s="6" t="inlineStr">
        <is>
          <t>อัตราผ่าน = Pass ÷ (ทั้งหมด − Untested)</t>
        </is>
      </c>
    </row>
    <row r="17">
      <c r="B17" s="7" t="inlineStr">
        <is>
          <t>ประวัติการรัน</t>
        </is>
      </c>
    </row>
    <row r="18">
      <c r="B18" s="8" t="inlineStr">
        <is>
          <t>รอบ</t>
        </is>
      </c>
      <c r="C18" s="8" t="inlineStr">
        <is>
          <t>วันเวลา</t>
        </is>
      </c>
      <c r="D18" s="8" t="inlineStr">
        <is>
          <t>ทั้งหมด</t>
        </is>
      </c>
      <c r="E18" s="8" t="inlineStr">
        <is>
          <t>Pass</t>
        </is>
      </c>
      <c r="F18" s="8" t="inlineStr">
        <is>
          <t>Fail</t>
        </is>
      </c>
      <c r="G18" s="8" t="inlineStr">
        <is>
          <t>Block</t>
        </is>
      </c>
      <c r="H18" s="8" t="inlineStr">
        <is>
          <t>อัตราผ่าน</t>
        </is>
      </c>
    </row>
    <row r="19">
      <c r="B19" s="9" t="inlineStr">
        <is>
          <t>รอบที่ 1 — รันทั้งชุด</t>
        </is>
      </c>
      <c r="C19" s="10" t="inlineStr">
        <is>
          <t>2026-10-29 18:59</t>
        </is>
      </c>
      <c r="D19" s="10" t="n">
        <v>57</v>
      </c>
      <c r="E19" s="10" t="n">
        <v>43</v>
      </c>
      <c r="F19" s="10" t="n">
        <v>11</v>
      </c>
      <c r="G19" s="10" t="n">
        <v>0</v>
      </c>
      <c r="H19" s="11">
        <f>IF(D19=0,0,E19/D19)</f>
        <v/>
      </c>
    </row>
    <row r="20">
      <c r="B20" s="9" t="inlineStr">
        <is>
          <t>รอบที่ 2 — รันซ้ำเฉพาะเคสที่ไม่ผ่าน</t>
        </is>
      </c>
      <c r="C20" s="10" t="inlineStr">
        <is>
          <t>2026-10-29 19:12</t>
        </is>
      </c>
      <c r="D20" s="10" t="n">
        <v>11</v>
      </c>
      <c r="E20" s="10" t="n">
        <v>9</v>
      </c>
      <c r="F20" s="10" t="n">
        <v>2</v>
      </c>
      <c r="G20" s="10" t="n">
        <v>0</v>
      </c>
      <c r="H20" s="11">
        <f>IF(D20=0,0,E20/D20)</f>
        <v/>
      </c>
    </row>
    <row r="21">
      <c r="B21" s="9" t="inlineStr">
        <is>
          <t>รอบที่ 3 — รัน keyboard-flows ทั้งไฟล์</t>
        </is>
      </c>
      <c r="C21" s="10" t="inlineStr">
        <is>
          <t>2026-10-29 19:17</t>
        </is>
      </c>
      <c r="D21" s="10" t="n">
        <v>6</v>
      </c>
      <c r="E21" s="10" t="n">
        <v>4</v>
      </c>
      <c r="F21" s="10" t="n">
        <v>1</v>
      </c>
      <c r="G21" s="10" t="n">
        <v>0</v>
      </c>
      <c r="H21" s="11">
        <f>IF(D21=0,0,E21/D21)</f>
        <v/>
      </c>
    </row>
    <row r="22">
      <c r="B22" s="9" t="inlineStr">
        <is>
          <t>รอบที่ 4 — รันเคสที่ยังไม่ได้รัน</t>
        </is>
      </c>
      <c r="C22" s="10" t="inlineStr">
        <is>
          <t>2026-10-29 19:18</t>
        </is>
      </c>
      <c r="D22" s="10" t="n">
        <v>1</v>
      </c>
      <c r="E22" s="10" t="n">
        <v>1</v>
      </c>
      <c r="F22" s="10" t="n">
        <v>0</v>
      </c>
      <c r="G22" s="10" t="n">
        <v>0</v>
      </c>
      <c r="H22" s="11">
        <f>IF(D22=0,0,E22/D22)</f>
        <v/>
      </c>
    </row>
    <row r="23">
      <c r="B23" s="9" t="inlineStr">
        <is>
          <t>ผลสุดท้าย (ใช้ผลรอบล่าสุดของแต่ละเคส)</t>
        </is>
      </c>
      <c r="C23" s="10" t="inlineStr">
        <is>
          <t>2026-10-29 19:18</t>
        </is>
      </c>
      <c r="D23" s="10">
        <f>C14</f>
        <v/>
      </c>
      <c r="E23" s="10">
        <f>D14</f>
        <v/>
      </c>
      <c r="F23" s="10">
        <f>E14</f>
        <v/>
      </c>
      <c r="G23" s="10">
        <f>F14</f>
        <v/>
      </c>
      <c r="H23" s="11">
        <f>IF(D23=0,0,E23/D23)</f>
        <v/>
      </c>
    </row>
    <row r="24" ht="40" customHeight="1">
      <c r="B24" s="12" t="inlineStr">
        <is>
          <t>รอบที่ 1 ไม่ผ่าน 11 เคส ส่วนใหญ่เป็น timeout ตอนเปิดหน้าครั้งแรก เพราะ next dev --webpack คอมไพล์หน้าช้า และมี 3 เคสที่ไม่ได้รัน (Untested ในรอบนั้น) · รอบที่ 2–4 รันซ้ำตอนที่ server คอมไพล์หน้าไว้แล้ว · เทียบกับ GitHub Actions CI run #107 บน commit 24a0107 เดียวกันที่ผ่านทุก job</t>
        </is>
      </c>
    </row>
    <row r="26">
      <c r="B26" s="7" t="inlineStr">
        <is>
          <t>แยกตามส่วนของระบบ / โมดูล</t>
        </is>
      </c>
    </row>
    <row r="27">
      <c r="B27" s="8" t="inlineStr">
        <is>
          <t>Module / Feature</t>
        </is>
      </c>
      <c r="C27" s="8" t="inlineStr">
        <is>
          <t>ทั้งหมด</t>
        </is>
      </c>
      <c r="D27" s="8" t="inlineStr">
        <is>
          <t>Pass</t>
        </is>
      </c>
      <c r="E27" s="8" t="inlineStr">
        <is>
          <t>Fail</t>
        </is>
      </c>
      <c r="F27" s="8" t="inlineStr">
        <is>
          <t>Block</t>
        </is>
      </c>
      <c r="G27" s="8" t="inlineStr">
        <is>
          <t>Untested</t>
        </is>
      </c>
      <c r="H27" s="8" t="inlineStr">
        <is>
          <t>อัตราผ่าน</t>
        </is>
      </c>
    </row>
    <row r="28" ht="18" customHeight="1">
      <c r="B28" s="9" t="inlineStr">
        <is>
          <t>Accessibility</t>
        </is>
      </c>
      <c r="C28" s="10">
        <f>COUNTIF('Test Cases'!$B$3:$B$300,$B28)</f>
        <v/>
      </c>
      <c r="D28" s="10">
        <f>COUNTIFS('Test Cases'!$B$3:$B$300,$B28,'Test Cases'!$I$3:$I$300,"Pass")</f>
        <v/>
      </c>
      <c r="E28" s="10">
        <f>COUNTIFS('Test Cases'!$B$3:$B$300,$B28,'Test Cases'!$I$3:$I$300,"Fail")</f>
        <v/>
      </c>
      <c r="F28" s="10">
        <f>COUNTIFS('Test Cases'!$B$3:$B$300,$B28,'Test Cases'!$I$3:$I$300,"Block")</f>
        <v/>
      </c>
      <c r="G28" s="10">
        <f>COUNTIFS('Test Cases'!$B$3:$B$300,$B28,'Test Cases'!$I$3:$I$300,"Untested")</f>
        <v/>
      </c>
      <c r="H28" s="11">
        <f>IF(C28-G28=0,0,D28/(C28-G28))</f>
        <v/>
      </c>
    </row>
    <row r="29" ht="18" customHeight="1">
      <c r="B29" s="9" t="inlineStr">
        <is>
          <t>Login</t>
        </is>
      </c>
      <c r="C29" s="10">
        <f>COUNTIF('Test Cases'!$B$3:$B$300,$B29)</f>
        <v/>
      </c>
      <c r="D29" s="10">
        <f>COUNTIFS('Test Cases'!$B$3:$B$300,$B29,'Test Cases'!$I$3:$I$300,"Pass")</f>
        <v/>
      </c>
      <c r="E29" s="10">
        <f>COUNTIFS('Test Cases'!$B$3:$B$300,$B29,'Test Cases'!$I$3:$I$300,"Fail")</f>
        <v/>
      </c>
      <c r="F29" s="10">
        <f>COUNTIFS('Test Cases'!$B$3:$B$300,$B29,'Test Cases'!$I$3:$I$300,"Block")</f>
        <v/>
      </c>
      <c r="G29" s="10">
        <f>COUNTIFS('Test Cases'!$B$3:$B$300,$B29,'Test Cases'!$I$3:$I$300,"Untested")</f>
        <v/>
      </c>
      <c r="H29" s="11">
        <f>IF(C29-G29=0,0,D29/(C29-G29))</f>
        <v/>
      </c>
    </row>
    <row r="30" ht="18" customHeight="1">
      <c r="B30" s="9" t="inlineStr">
        <is>
          <t>Super Admin Dashboard</t>
        </is>
      </c>
      <c r="C30" s="10">
        <f>COUNTIF('Test Cases'!$B$3:$B$300,$B30)</f>
        <v/>
      </c>
      <c r="D30" s="10">
        <f>COUNTIFS('Test Cases'!$B$3:$B$300,$B30,'Test Cases'!$I$3:$I$300,"Pass")</f>
        <v/>
      </c>
      <c r="E30" s="10">
        <f>COUNTIFS('Test Cases'!$B$3:$B$300,$B30,'Test Cases'!$I$3:$I$300,"Fail")</f>
        <v/>
      </c>
      <c r="F30" s="10">
        <f>COUNTIFS('Test Cases'!$B$3:$B$300,$B30,'Test Cases'!$I$3:$I$300,"Block")</f>
        <v/>
      </c>
      <c r="G30" s="10">
        <f>COUNTIFS('Test Cases'!$B$3:$B$300,$B30,'Test Cases'!$I$3:$I$300,"Untested")</f>
        <v/>
      </c>
      <c r="H30" s="11">
        <f>IF(C30-G30=0,0,D30/(C30-G30))</f>
        <v/>
      </c>
    </row>
    <row r="31" ht="18" customHeight="1">
      <c r="B31" s="9" t="inlineStr">
        <is>
          <t>Color Contrast (WCAG)</t>
        </is>
      </c>
      <c r="C31" s="10">
        <f>COUNTIF('Test Cases'!$B$3:$B$300,$B31)</f>
        <v/>
      </c>
      <c r="D31" s="10">
        <f>COUNTIFS('Test Cases'!$B$3:$B$300,$B31,'Test Cases'!$I$3:$I$300,"Pass")</f>
        <v/>
      </c>
      <c r="E31" s="10">
        <f>COUNTIFS('Test Cases'!$B$3:$B$300,$B31,'Test Cases'!$I$3:$I$300,"Fail")</f>
        <v/>
      </c>
      <c r="F31" s="10">
        <f>COUNTIFS('Test Cases'!$B$3:$B$300,$B31,'Test Cases'!$I$3:$I$300,"Block")</f>
        <v/>
      </c>
      <c r="G31" s="10">
        <f>COUNTIFS('Test Cases'!$B$3:$B$300,$B31,'Test Cases'!$I$3:$I$300,"Untested")</f>
        <v/>
      </c>
      <c r="H31" s="11">
        <f>IF(C31-G31=0,0,D31/(C31-G31))</f>
        <v/>
      </c>
    </row>
    <row r="32" ht="18" customHeight="1">
      <c r="B32" s="9" t="inlineStr">
        <is>
          <t>Billing Lifecycle</t>
        </is>
      </c>
      <c r="C32" s="10">
        <f>COUNTIF('Test Cases'!$B$3:$B$300,$B32)</f>
        <v/>
      </c>
      <c r="D32" s="10">
        <f>COUNTIFS('Test Cases'!$B$3:$B$300,$B32,'Test Cases'!$I$3:$I$300,"Pass")</f>
        <v/>
      </c>
      <c r="E32" s="10">
        <f>COUNTIFS('Test Cases'!$B$3:$B$300,$B32,'Test Cases'!$I$3:$I$300,"Fail")</f>
        <v/>
      </c>
      <c r="F32" s="10">
        <f>COUNTIFS('Test Cases'!$B$3:$B$300,$B32,'Test Cases'!$I$3:$I$300,"Block")</f>
        <v/>
      </c>
      <c r="G32" s="10">
        <f>COUNTIFS('Test Cases'!$B$3:$B$300,$B32,'Test Cases'!$I$3:$I$300,"Untested")</f>
        <v/>
      </c>
      <c r="H32" s="11">
        <f>IF(C32-G32=0,0,D32/(C32-G32))</f>
        <v/>
      </c>
    </row>
    <row r="33" ht="18" customHeight="1">
      <c r="B33" s="9" t="inlineStr">
        <is>
          <t>Keyboard Access</t>
        </is>
      </c>
      <c r="C33" s="10">
        <f>COUNTIF('Test Cases'!$B$3:$B$300,$B33)</f>
        <v/>
      </c>
      <c r="D33" s="10">
        <f>COUNTIFS('Test Cases'!$B$3:$B$300,$B33,'Test Cases'!$I$3:$I$300,"Pass")</f>
        <v/>
      </c>
      <c r="E33" s="10">
        <f>COUNTIFS('Test Cases'!$B$3:$B$300,$B33,'Test Cases'!$I$3:$I$300,"Fail")</f>
        <v/>
      </c>
      <c r="F33" s="10">
        <f>COUNTIFS('Test Cases'!$B$3:$B$300,$B33,'Test Cases'!$I$3:$I$300,"Block")</f>
        <v/>
      </c>
      <c r="G33" s="10">
        <f>COUNTIFS('Test Cases'!$B$3:$B$300,$B33,'Test Cases'!$I$3:$I$300,"Untested")</f>
        <v/>
      </c>
      <c r="H33" s="11">
        <f>IF(C33-G33=0,0,D33/(C33-G33))</f>
        <v/>
      </c>
    </row>
    <row r="34" ht="18" customHeight="1">
      <c r="B34" s="9" t="inlineStr">
        <is>
          <t>Lease Renewal</t>
        </is>
      </c>
      <c r="C34" s="10">
        <f>COUNTIF('Test Cases'!$B$3:$B$300,$B34)</f>
        <v/>
      </c>
      <c r="D34" s="10">
        <f>COUNTIFS('Test Cases'!$B$3:$B$300,$B34,'Test Cases'!$I$3:$I$300,"Pass")</f>
        <v/>
      </c>
      <c r="E34" s="10">
        <f>COUNTIFS('Test Cases'!$B$3:$B$300,$B34,'Test Cases'!$I$3:$I$300,"Fail")</f>
        <v/>
      </c>
      <c r="F34" s="10">
        <f>COUNTIFS('Test Cases'!$B$3:$B$300,$B34,'Test Cases'!$I$3:$I$300,"Block")</f>
        <v/>
      </c>
      <c r="G34" s="10">
        <f>COUNTIFS('Test Cases'!$B$3:$B$300,$B34,'Test Cases'!$I$3:$I$300,"Untested")</f>
        <v/>
      </c>
      <c r="H34" s="11">
        <f>IF(C34-G34=0,0,D34/(C34-G34))</f>
        <v/>
      </c>
    </row>
    <row r="35" ht="18" customHeight="1">
      <c r="B35" s="9" t="inlineStr">
        <is>
          <t>Mobile Touch Target</t>
        </is>
      </c>
      <c r="C35" s="10">
        <f>COUNTIF('Test Cases'!$B$3:$B$300,$B35)</f>
        <v/>
      </c>
      <c r="D35" s="10">
        <f>COUNTIFS('Test Cases'!$B$3:$B$300,$B35,'Test Cases'!$I$3:$I$300,"Pass")</f>
        <v/>
      </c>
      <c r="E35" s="10">
        <f>COUNTIFS('Test Cases'!$B$3:$B$300,$B35,'Test Cases'!$I$3:$I$300,"Fail")</f>
        <v/>
      </c>
      <c r="F35" s="10">
        <f>COUNTIFS('Test Cases'!$B$3:$B$300,$B35,'Test Cases'!$I$3:$I$300,"Block")</f>
        <v/>
      </c>
      <c r="G35" s="10">
        <f>COUNTIFS('Test Cases'!$B$3:$B$300,$B35,'Test Cases'!$I$3:$I$300,"Untested")</f>
        <v/>
      </c>
      <c r="H35" s="11">
        <f>IF(C35-G35=0,0,D35/(C35-G35))</f>
        <v/>
      </c>
    </row>
    <row r="36" ht="18" customHeight="1">
      <c r="B36" s="9" t="inlineStr">
        <is>
          <t>Performance (Requests)</t>
        </is>
      </c>
      <c r="C36" s="10">
        <f>COUNTIF('Test Cases'!$B$3:$B$300,$B36)</f>
        <v/>
      </c>
      <c r="D36" s="10">
        <f>COUNTIFS('Test Cases'!$B$3:$B$300,$B36,'Test Cases'!$I$3:$I$300,"Pass")</f>
        <v/>
      </c>
      <c r="E36" s="10">
        <f>COUNTIFS('Test Cases'!$B$3:$B$300,$B36,'Test Cases'!$I$3:$I$300,"Fail")</f>
        <v/>
      </c>
      <c r="F36" s="10">
        <f>COUNTIFS('Test Cases'!$B$3:$B$300,$B36,'Test Cases'!$I$3:$I$300,"Block")</f>
        <v/>
      </c>
      <c r="G36" s="10">
        <f>COUNTIFS('Test Cases'!$B$3:$B$300,$B36,'Test Cases'!$I$3:$I$300,"Untested")</f>
        <v/>
      </c>
      <c r="H36" s="11">
        <f>IF(C36-G36=0,0,D36/(C36-G36))</f>
        <v/>
      </c>
    </row>
    <row r="37" ht="18" customHeight="1">
      <c r="B37" s="9" t="inlineStr">
        <is>
          <t>Responsive</t>
        </is>
      </c>
      <c r="C37" s="10">
        <f>COUNTIF('Test Cases'!$B$3:$B$300,$B37)</f>
        <v/>
      </c>
      <c r="D37" s="10">
        <f>COUNTIFS('Test Cases'!$B$3:$B$300,$B37,'Test Cases'!$I$3:$I$300,"Pass")</f>
        <v/>
      </c>
      <c r="E37" s="10">
        <f>COUNTIFS('Test Cases'!$B$3:$B$300,$B37,'Test Cases'!$I$3:$I$300,"Fail")</f>
        <v/>
      </c>
      <c r="F37" s="10">
        <f>COUNTIFS('Test Cases'!$B$3:$B$300,$B37,'Test Cases'!$I$3:$I$300,"Block")</f>
        <v/>
      </c>
      <c r="G37" s="10">
        <f>COUNTIFS('Test Cases'!$B$3:$B$300,$B37,'Test Cases'!$I$3:$I$300,"Untested")</f>
        <v/>
      </c>
      <c r="H37" s="11">
        <f>IF(C37-G37=0,0,D37/(C37-G37))</f>
        <v/>
      </c>
    </row>
    <row r="38" ht="18" customHeight="1">
      <c r="B38" s="9" t="inlineStr">
        <is>
          <t>Subscription Access</t>
        </is>
      </c>
      <c r="C38" s="10">
        <f>COUNTIF('Test Cases'!$B$3:$B$300,$B38)</f>
        <v/>
      </c>
      <c r="D38" s="10">
        <f>COUNTIFS('Test Cases'!$B$3:$B$300,$B38,'Test Cases'!$I$3:$I$300,"Pass")</f>
        <v/>
      </c>
      <c r="E38" s="10">
        <f>COUNTIFS('Test Cases'!$B$3:$B$300,$B38,'Test Cases'!$I$3:$I$300,"Fail")</f>
        <v/>
      </c>
      <c r="F38" s="10">
        <f>COUNTIFS('Test Cases'!$B$3:$B$300,$B38,'Test Cases'!$I$3:$I$300,"Block")</f>
        <v/>
      </c>
      <c r="G38" s="10">
        <f>COUNTIFS('Test Cases'!$B$3:$B$300,$B38,'Test Cases'!$I$3:$I$300,"Untested")</f>
        <v/>
      </c>
      <c r="H38" s="11">
        <f>IF(C38-G38=0,0,D38/(C38-G38))</f>
        <v/>
      </c>
    </row>
    <row r="39" ht="18" customHeight="1">
      <c r="B39" s="9" t="inlineStr">
        <is>
          <t>Session Management</t>
        </is>
      </c>
      <c r="C39" s="10">
        <f>COUNTIF('Test Cases'!$B$3:$B$300,$B39)</f>
        <v/>
      </c>
      <c r="D39" s="10">
        <f>COUNTIFS('Test Cases'!$B$3:$B$300,$B39,'Test Cases'!$I$3:$I$300,"Pass")</f>
        <v/>
      </c>
      <c r="E39" s="10">
        <f>COUNTIFS('Test Cases'!$B$3:$B$300,$B39,'Test Cases'!$I$3:$I$300,"Fail")</f>
        <v/>
      </c>
      <c r="F39" s="10">
        <f>COUNTIFS('Test Cases'!$B$3:$B$300,$B39,'Test Cases'!$I$3:$I$300,"Block")</f>
        <v/>
      </c>
      <c r="G39" s="10">
        <f>COUNTIFS('Test Cases'!$B$3:$B$300,$B39,'Test Cases'!$I$3:$I$300,"Untested")</f>
        <v/>
      </c>
      <c r="H39" s="11">
        <f>IF(C39-G39=0,0,D39/(C39-G39))</f>
        <v/>
      </c>
    </row>
    <row r="40" ht="18" customHeight="1">
      <c r="B40" s="9" t="inlineStr">
        <is>
          <t>Table Contract</t>
        </is>
      </c>
      <c r="C40" s="10">
        <f>COUNTIF('Test Cases'!$B$3:$B$300,$B40)</f>
        <v/>
      </c>
      <c r="D40" s="10">
        <f>COUNTIFS('Test Cases'!$B$3:$B$300,$B40,'Test Cases'!$I$3:$I$300,"Pass")</f>
        <v/>
      </c>
      <c r="E40" s="10">
        <f>COUNTIFS('Test Cases'!$B$3:$B$300,$B40,'Test Cases'!$I$3:$I$300,"Fail")</f>
        <v/>
      </c>
      <c r="F40" s="10">
        <f>COUNTIFS('Test Cases'!$B$3:$B$300,$B40,'Test Cases'!$I$3:$I$300,"Block")</f>
        <v/>
      </c>
      <c r="G40" s="10">
        <f>COUNTIFS('Test Cases'!$B$3:$B$300,$B40,'Test Cases'!$I$3:$I$300,"Untested")</f>
        <v/>
      </c>
      <c r="H40" s="11">
        <f>IF(C40-G40=0,0,D40/(C40-G40))</f>
        <v/>
      </c>
    </row>
    <row r="41" ht="18" customHeight="1">
      <c r="B41" s="9" t="inlineStr">
        <is>
          <t>Owner Journey</t>
        </is>
      </c>
      <c r="C41" s="10">
        <f>COUNTIF('Test Cases'!$B$3:$B$300,$B41)</f>
        <v/>
      </c>
      <c r="D41" s="10">
        <f>COUNTIFS('Test Cases'!$B$3:$B$300,$B41,'Test Cases'!$I$3:$I$300,"Pass")</f>
        <v/>
      </c>
      <c r="E41" s="10">
        <f>COUNTIFS('Test Cases'!$B$3:$B$300,$B41,'Test Cases'!$I$3:$I$300,"Fail")</f>
        <v/>
      </c>
      <c r="F41" s="10">
        <f>COUNTIFS('Test Cases'!$B$3:$B$300,$B41,'Test Cases'!$I$3:$I$300,"Block")</f>
        <v/>
      </c>
      <c r="G41" s="10">
        <f>COUNTIFS('Test Cases'!$B$3:$B$300,$B41,'Test Cases'!$I$3:$I$300,"Untested")</f>
        <v/>
      </c>
      <c r="H41" s="11">
        <f>IF(C41-G41=0,0,D41/(C41-G41))</f>
        <v/>
      </c>
    </row>
    <row r="42" ht="18" customHeight="1">
      <c r="B42" s="9" t="inlineStr">
        <is>
          <t>Tenant Journey</t>
        </is>
      </c>
      <c r="C42" s="10">
        <f>COUNTIF('Test Cases'!$B$3:$B$300,$B42)</f>
        <v/>
      </c>
      <c r="D42" s="10">
        <f>COUNTIFS('Test Cases'!$B$3:$B$300,$B42,'Test Cases'!$I$3:$I$300,"Pass")</f>
        <v/>
      </c>
      <c r="E42" s="10">
        <f>COUNTIFS('Test Cases'!$B$3:$B$300,$B42,'Test Cases'!$I$3:$I$300,"Fail")</f>
        <v/>
      </c>
      <c r="F42" s="10">
        <f>COUNTIFS('Test Cases'!$B$3:$B$300,$B42,'Test Cases'!$I$3:$I$300,"Block")</f>
        <v/>
      </c>
      <c r="G42" s="10">
        <f>COUNTIFS('Test Cases'!$B$3:$B$300,$B42,'Test Cases'!$I$3:$I$300,"Untested")</f>
        <v/>
      </c>
      <c r="H42" s="11">
        <f>IF(C42-G42=0,0,D42/(C42-G42))</f>
        <v/>
      </c>
    </row>
  </sheetData>
  <mergeCells count="6">
    <mergeCell ref="C6:H6"/>
    <mergeCell ref="C5:H5"/>
    <mergeCell ref="C9:H9"/>
    <mergeCell ref="B24:H24"/>
    <mergeCell ref="C8:H8"/>
    <mergeCell ref="C7:H7"/>
  </mergeCells>
  <conditionalFormatting sqref="H14:H43">
    <cfRule type="expression" priority="1" dxfId="0">
      <formula>AND(ISNUMBER(H14),H14&lt;1)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34" customWidth="1" min="4" max="4"/>
    <col width="40" customWidth="1" min="5" max="5"/>
  </cols>
  <sheetData>
    <row r="2" ht="20.4" customHeight="1">
      <c r="B2" s="1" t="inlineStr">
        <is>
          <t>แผนการทดสอบ (Test Plan)</t>
        </is>
      </c>
    </row>
    <row r="3">
      <c r="B3" s="2" t="inlineStr">
        <is>
          <t>Nestly — การทดสอบหน้าจอแบบอัตโนมัติ (End-to-End) ก่อนขึ้นระบบจริง</t>
        </is>
      </c>
    </row>
    <row r="5">
      <c r="B5" s="7" t="inlineStr">
        <is>
          <t>1. วัตถุประสงค์</t>
        </is>
      </c>
    </row>
    <row r="6" ht="30" customHeight="1">
      <c r="B6" s="4" t="inlineStr">
        <is>
          <t>•  ยืนยันว่าเส้นทางหลักของผู้ใช้ทั้ง 3 บทบาท (เจ้าของหอ ผู้เช่า ผู้ดูแลระบบ) ทำงานถูกต้องบนเบราว์เซอร์จริง</t>
        </is>
      </c>
    </row>
    <row r="7" ht="30" customHeight="1">
      <c r="B7" s="4" t="inlineStr">
        <is>
          <t>•  ตรวจข้อกำหนดด้านการใช้งาน: คีย์บอร์ด, ความต่างสี WCAG AA, ขนาดปุ่มบนมือถือ, การแสดงผลหลายขนาดจอ และจำนวนคำขอที่หน้าเว็บยิง</t>
        </is>
      </c>
    </row>
    <row r="8" ht="30" customHeight="1">
      <c r="B8" s="4" t="inlineStr">
        <is>
          <t>•  ทดสอบแบบอัตโนมัติด้วย Playwright เพื่อรันซ้ำได้ทุกครั้งที่แก้โค้ด และ GitHub Actions รันให้ทุก pull request</t>
        </is>
      </c>
    </row>
    <row r="9" ht="15" customHeight="1">
      <c r="B9" s="4" t="inlineStr">
        <is>
          <t>•  เก็บภาพหน้าจอท้ายเคสทุกเคสเป็นหลักฐาน</t>
        </is>
      </c>
    </row>
    <row r="11">
      <c r="B11" s="7" t="inlineStr">
        <is>
          <t>2. ขอบเขตการทดสอบ</t>
        </is>
      </c>
    </row>
    <row r="12" ht="56" customHeight="1">
      <c r="B12" s="13" t="inlineStr">
        <is>
          <t>อยู่ในขอบเขต (รอบนี้)</t>
        </is>
      </c>
      <c r="C12" s="4" t="inlineStr">
        <is>
          <t>57 เคส: Accessibility 10 · Login 1 · Super Admin Dashboard 1 · Color Contrast (WCAG) 8 · Billing Lifecycle 1 · Keyboard Access 6 · Lease Renewal 1 · Mobile Touch Target 5 · Performance (Requests) 5 · Responsive 4 · Subscription Access 6 · Session Management 1 · Table Contract 3 · Owner Journey 3 · Tenant Journey 2</t>
        </is>
      </c>
    </row>
    <row r="13" ht="28" customHeight="1">
      <c r="B13" s="13" t="inlineStr">
        <is>
          <t>นอกขอบเขต</t>
        </is>
      </c>
      <c r="C13" s="4" t="inlineStr">
        <is>
          <t>Firefox / Safari (WebKit) / Edge · อุปกรณ์มือถือจริง (ใช้การจำลองขนาดจอแทน) · การทดสอบโหลด · การส่งอีเมลจริง · ระบบชำระเงินจริง</t>
        </is>
      </c>
    </row>
    <row r="14" ht="28" customHeight="1">
      <c r="B14" s="13" t="inlineStr">
        <is>
          <t>ทดสอบในระดับอื่นแล้ว</t>
        </is>
      </c>
      <c r="C14" s="4" t="inlineStr">
        <is>
          <t>ตรรกะคิดเงิน สิทธิ์ การตรวจข้อมูล และ API ครอบด้วย Vitest (ดูไฟล์ Nestly-API-Test-Report.xlsx)</t>
        </is>
      </c>
    </row>
    <row r="16">
      <c r="B16" s="7" t="inlineStr">
        <is>
          <t>3. รายการที่ทดสอบ (Test Items)</t>
        </is>
      </c>
    </row>
    <row r="17">
      <c r="B17" s="8" t="inlineStr">
        <is>
          <t>ส่วนของระบบ</t>
        </is>
      </c>
      <c r="C17" s="8" t="inlineStr">
        <is>
          <t>ที่อยู่ (ระบบทดสอบ)</t>
        </is>
      </c>
      <c r="D17" s="8" t="inlineStr">
        <is>
          <t>เทคโนโลยี</t>
        </is>
      </c>
      <c r="E17" s="8" t="inlineStr">
        <is>
          <t>บัญชีทดสอบ</t>
        </is>
      </c>
    </row>
    <row r="18" ht="56" customHeight="1">
      <c r="B18" s="9" t="inlineStr">
        <is>
          <t>เว็บแอป (หน้าจอ + API)</t>
        </is>
      </c>
      <c r="C18" s="14" t="inlineStr">
        <is>
          <t>http://127.0.0.1:3317</t>
        </is>
      </c>
      <c r="D18" s="14" t="inlineStr">
        <is>
          <t>Next.js 16 + React 19 + Tailwind CSS 4</t>
        </is>
      </c>
      <c r="E18" s="14" t="inlineStr">
        <is>
          <t>e2e-owner@example.test (เจ้าของหอ 2 หอ) · e2e-tenant@example.test (ผู้เช่าหลักห้อง E101) · e2e-super-admin@example.test (ผู้ดูแลระบบ) — รหัสผ่านอยู่ใน tests/e2e/fixtures.ts</t>
        </is>
      </c>
    </row>
    <row r="19" ht="18" customHeight="1">
      <c r="B19" s="9" t="inlineStr">
        <is>
          <t>ฐานข้อมูล</t>
        </is>
      </c>
      <c r="C19" s="14" t="inlineStr">
        <is>
          <t>127.0.0.1:55432 / nestly_test</t>
        </is>
      </c>
      <c r="D19" s="14" t="inlineStr">
        <is>
          <t>PostgreSQL 17 (Docker, tmpfs) + Prisma 7.9</t>
        </is>
      </c>
      <c r="E19" s="14" t="inlineStr">
        <is>
          <t>สร้างใหม่ทุกรอบโดย tests/e2e/global-setup.ts</t>
        </is>
      </c>
    </row>
    <row r="21">
      <c r="B21" s="7" t="inlineStr">
        <is>
          <t>4. สภาพแวดล้อมการทดสอบ</t>
        </is>
      </c>
    </row>
    <row r="22" ht="28" customHeight="1">
      <c r="B22" s="13" t="inlineStr">
        <is>
          <t>เครื่อง/เบราว์เซอร์</t>
        </is>
      </c>
      <c r="C22" s="4" t="inlineStr">
        <is>
          <t>Windows 11 · Chromium ของ Playwright 1.62 แบบ headless · ขนาดจอ 1280×720 (บางเคสตั้ง 320–1440 px)</t>
        </is>
      </c>
    </row>
    <row r="23" ht="28" customHeight="1">
      <c r="B23" s="13" t="inlineStr">
        <is>
          <t>แยกจาก dev</t>
        </is>
      </c>
      <c r="C23" s="4" t="inlineStr">
        <is>
          <t>ฐานข้อมูลทดสอบชื่อต้องมีคำว่า test (สคริปต์ปฏิเสธถ้าชี้ผิดฐาน) · ใช้พอร์ต 3317 แยกจาก dev server ที่พอร์ต 3000</t>
        </is>
      </c>
    </row>
    <row r="24" ht="16" customHeight="1">
      <c r="B24" s="13" t="inlineStr">
        <is>
          <t>ไฟล์อัปโหลด</t>
        </is>
      </c>
      <c r="C24" s="4" t="inlineStr">
        <is>
          <t>STORAGE_TYPE=local · เก็บที่ ./storage/e2e-documents</t>
        </is>
      </c>
    </row>
    <row r="25" ht="42" customHeight="1">
      <c r="B25" s="13" t="inlineStr">
        <is>
          <t>หมายเหตุรอบนี้</t>
        </is>
      </c>
      <c r="C25" s="4" t="inlineStr">
        <is>
          <t>รันจากสำเนาโค้ดของ commit 24a0107 ด้วย next dev --webpack และ Chromium ตัวเต็ม เพราะมี dev server อีกตัวเปิดอยู่ในโฟลเดอร์โปรเจกต์ (Next.js ไม่ให้เปิดสองตัวในโฟลเดอร์เดียว) · CI ใช้ Turbopack และ headless shell ตามค่าปกติ</t>
        </is>
      </c>
    </row>
    <row r="27">
      <c r="B27" s="7" t="inlineStr">
        <is>
          <t>5. เกณฑ์เริ่มและเกณฑ์จบ</t>
        </is>
      </c>
    </row>
    <row r="28" ht="28" customHeight="1">
      <c r="B28" s="13" t="inlineStr">
        <is>
          <t>เกณฑ์เริ่ม (Entry)</t>
        </is>
      </c>
      <c r="C28" s="4" t="inlineStr">
        <is>
          <t>ฐานทดสอบ migrate ครบ · global-setup สร้างบัญชีและข้อมูลตั้งต้นสำเร็จ · /api/health ตอบ 200</t>
        </is>
      </c>
    </row>
    <row r="29" ht="16" customHeight="1">
      <c r="B29" s="13" t="inlineStr">
        <is>
          <t>เกณฑ์จบ (Exit)</t>
        </is>
      </c>
      <c r="C29" s="4" t="inlineStr">
        <is>
          <t>ทุกเคสรันครบ ไม่มีเคส Untested · อัตราผ่าน 100% หรือเคสที่ไม่ผ่านมี Defect ID และแผนแก้</t>
        </is>
      </c>
    </row>
    <row r="30" ht="16" customHeight="1">
      <c r="B30" s="13" t="inlineStr">
        <is>
          <t>การรันซ้ำ</t>
        </is>
      </c>
      <c r="C30" s="4" t="inlineStr">
        <is>
          <t>npm run test:e2e (หรือ npm run test:e2e:subscription ให้สคริปต์ยกฐานทดสอบเอง)</t>
        </is>
      </c>
    </row>
  </sheetData>
  <mergeCells count="14">
    <mergeCell ref="B9:E9"/>
    <mergeCell ref="C14:E14"/>
    <mergeCell ref="B8:E8"/>
    <mergeCell ref="C28:E28"/>
    <mergeCell ref="C13:E13"/>
    <mergeCell ref="C23:E23"/>
    <mergeCell ref="B6:E6"/>
    <mergeCell ref="C22:E22"/>
    <mergeCell ref="B7:E7"/>
    <mergeCell ref="C29:E29"/>
    <mergeCell ref="C30:E30"/>
    <mergeCell ref="C12:E12"/>
    <mergeCell ref="C25:E25"/>
    <mergeCell ref="C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34" customWidth="1" min="4" max="4"/>
    <col width="40" customWidth="1" min="5" max="5"/>
  </cols>
  <sheetData>
    <row r="2" ht="20.4" customHeight="1">
      <c r="B2" s="1" t="inlineStr">
        <is>
          <t>กลยุทธ์การทดสอบ (Test Strategy)</t>
        </is>
      </c>
    </row>
    <row r="3">
      <c r="B3" s="2" t="inlineStr">
        <is>
          <t>ทดสอบอะไร ด้วยวิธีไหน ระดับไหน และจัดการผลอย่างไร</t>
        </is>
      </c>
    </row>
    <row r="5">
      <c r="B5" s="7" t="inlineStr">
        <is>
          <t>1. ระดับการทดสอบ (Test Levels)</t>
        </is>
      </c>
    </row>
    <row r="6">
      <c r="B6" s="8" t="inlineStr">
        <is>
          <t>ระดับ</t>
        </is>
      </c>
      <c r="C6" s="8" t="inlineStr">
        <is>
          <t>เครื่องมือ</t>
        </is>
      </c>
      <c r="D6" s="8" t="inlineStr">
        <is>
          <t>ทดสอบอะไร</t>
        </is>
      </c>
      <c r="E6" s="8" t="inlineStr">
        <is>
          <t>รันเมื่อไร</t>
        </is>
      </c>
    </row>
    <row r="7" ht="18" customHeight="1">
      <c r="B7" s="9" t="inlineStr">
        <is>
          <t>Static Analysis</t>
        </is>
      </c>
      <c r="C7" s="14" t="inlineStr">
        <is>
          <t>TypeScript strict · ESLint · SonarQube</t>
        </is>
      </c>
      <c r="D7" s="14" t="inlineStr">
        <is>
          <t>ชนิดข้อมูล กลิ่นโค้ด ช่องโหว่ ความซับซ้อน</t>
        </is>
      </c>
      <c r="E7" s="14" t="inlineStr">
        <is>
          <t>ทุก push / pull request (CI job quality)</t>
        </is>
      </c>
    </row>
    <row r="8" ht="18" customHeight="1">
      <c r="B8" s="9" t="inlineStr">
        <is>
          <t>Unit</t>
        </is>
      </c>
      <c r="C8" s="14" t="inlineStr">
        <is>
          <t>Vitest</t>
        </is>
      </c>
      <c r="D8" s="14" t="inlineStr">
        <is>
          <t>ตรรกะธุรกิจ การตรวจข้อมูล (Zod) การคำนวณเงิน</t>
        </is>
      </c>
      <c r="E8" s="14" t="inlineStr">
        <is>
          <t>ทุก push / pull request</t>
        </is>
      </c>
    </row>
    <row r="9" ht="28" customHeight="1">
      <c r="B9" s="9" t="inlineStr">
        <is>
          <t>Integration</t>
        </is>
      </c>
      <c r="C9" s="14" t="inlineStr">
        <is>
          <t>Vitest + PostgreSQL</t>
        </is>
      </c>
      <c r="D9" s="14" t="inlineStr">
        <is>
          <t>route handler, service, สิทธิ์ และ transaction กับฐานข้อมูลจริง</t>
        </is>
      </c>
      <c r="E9" s="14" t="inlineStr">
        <is>
          <t>ทุก push / pull request (CI job integration)</t>
        </is>
      </c>
    </row>
    <row r="10" ht="28" customHeight="1">
      <c r="B10" s="9" t="inlineStr">
        <is>
          <t>End-to-End (UI)</t>
        </is>
      </c>
      <c r="C10" s="14" t="inlineStr">
        <is>
          <t>Playwright + Chromium</t>
        </is>
      </c>
      <c r="D10" s="14" t="inlineStr">
        <is>
          <t>สิ่งที่ผู้ใช้เห็นและกดจริง ทั้ง 3 บทบาท</t>
        </is>
      </c>
      <c r="E10" s="14" t="inlineStr">
        <is>
          <t>ทุก push / pull request (CI job e2e) · retry 2 ครั้งใน CI</t>
        </is>
      </c>
    </row>
    <row r="11" ht="28" customHeight="1">
      <c r="B11" s="9" t="inlineStr">
        <is>
          <t>Smoke (container)</t>
        </is>
      </c>
      <c r="C11" s="14" t="inlineStr">
        <is>
          <t>Docker Compose + curl</t>
        </is>
      </c>
      <c r="D11" s="14" t="inlineStr">
        <is>
          <t>image รันได้ด้วย user ที่ไม่ใช่ root, migrate ผ่าน, /api/health ตอบ</t>
        </is>
      </c>
      <c r="E11" s="14" t="inlineStr">
        <is>
          <t>ทุก push / pull request (CI job docker)</t>
        </is>
      </c>
    </row>
    <row r="13">
      <c r="B13" s="7" t="inlineStr">
        <is>
          <t>2. ประเภทและเทคนิคการทดสอบ</t>
        </is>
      </c>
    </row>
    <row r="14">
      <c r="B14" s="8" t="inlineStr">
        <is>
          <t>เทคนิค</t>
        </is>
      </c>
      <c r="C14" s="8" t="inlineStr">
        <is>
          <t>ตัวอย่างในรายงานนี้</t>
        </is>
      </c>
      <c r="D14" s="8" t="inlineStr"/>
      <c r="E14" s="8" t="inlineStr"/>
    </row>
    <row r="15" ht="18" customHeight="1">
      <c r="B15" s="9" t="inlineStr">
        <is>
          <t>Positive (ทางที่ถูก)</t>
        </is>
      </c>
      <c r="C15" s="14" t="inlineStr">
        <is>
          <t>TC_UI_BILL_001, TC_UI_LEASE_001, TC_UI_TENANT_002</t>
        </is>
      </c>
      <c r="D15" s="14" t="inlineStr"/>
      <c r="E15" s="14" t="inlineStr"/>
    </row>
    <row r="16" ht="18" customHeight="1">
      <c r="B16" s="9" t="inlineStr">
        <is>
          <t>Negative (ข้อมูลผิด)</t>
        </is>
      </c>
      <c r="C16" s="14" t="inlineStr">
        <is>
          <t>TC_UI_LOGIN_001</t>
        </is>
      </c>
      <c r="D16" s="14" t="inlineStr"/>
      <c r="E16" s="14" t="inlineStr"/>
    </row>
    <row r="17" ht="18" customHeight="1">
      <c r="B17" s="9" t="inlineStr">
        <is>
          <t>Security</t>
        </is>
      </c>
      <c r="C17" s="14" t="inlineStr">
        <is>
          <t>TC_UI_LOGIN_001, TC_UI_SESSION_001</t>
        </is>
      </c>
      <c r="D17" s="14" t="inlineStr"/>
      <c r="E17" s="14" t="inlineStr"/>
    </row>
    <row r="18" ht="28" customHeight="1">
      <c r="B18" s="9" t="inlineStr">
        <is>
          <t>State / Workflow</t>
        </is>
      </c>
      <c r="C18" s="14" t="inlineStr">
        <is>
          <t>TC_UI_SUB_001, TC_UI_SUB_002, TC_UI_SUB_003, TC_UI_SUB_004, TC_UI_A11Y_007</t>
        </is>
      </c>
      <c r="D18" s="14" t="inlineStr"/>
      <c r="E18" s="14" t="inlineStr"/>
    </row>
    <row r="19" ht="28" customHeight="1">
      <c r="B19" s="9" t="inlineStr">
        <is>
          <t>Responsive / Mobile</t>
        </is>
      </c>
      <c r="C19" s="14" t="inlineStr">
        <is>
          <t>TC_UI_MOB_001, TC_UI_MOB_002, TC_UI_MOB_003, TC_UI_MOB_004, TC_UI_RESP_001</t>
        </is>
      </c>
      <c r="D19" s="14" t="inlineStr"/>
      <c r="E19" s="14" t="inlineStr"/>
    </row>
    <row r="20" ht="28" customHeight="1">
      <c r="B20" s="9" t="inlineStr">
        <is>
          <t>Accessibility (WCAG AA)</t>
        </is>
      </c>
      <c r="C20" s="14" t="inlineStr">
        <is>
          <t>TC_UI_A11Y_002, TC_UI_A11Y_003, TC_UI_A11Y_004, TC_UI_A11Y_005, TC_UI_A11Y_006</t>
        </is>
      </c>
      <c r="D20" s="14" t="inlineStr"/>
      <c r="E20" s="14" t="inlineStr"/>
    </row>
    <row r="21" ht="28" customHeight="1">
      <c r="B21" s="9" t="inlineStr">
        <is>
          <t>Performance (จำนวนคำขอ)</t>
        </is>
      </c>
      <c r="C21" s="14" t="inlineStr">
        <is>
          <t>TC_UI_PERF_001, TC_UI_PERF_002, TC_UI_PERF_003, TC_UI_PERF_004, TC_UI_PERF_005</t>
        </is>
      </c>
      <c r="D21" s="14" t="inlineStr"/>
      <c r="E21" s="14" t="inlineStr"/>
    </row>
    <row r="23">
      <c r="B23" s="7" t="inlineStr">
        <is>
          <t>3. การจัดการข้อมูลทดสอบ</t>
        </is>
      </c>
    </row>
    <row r="24" ht="28" customHeight="1">
      <c r="B24" s="13" t="inlineStr">
        <is>
          <t>ข้อมูลตั้งต้น</t>
        </is>
      </c>
      <c r="C24" s="4" t="inlineStr">
        <is>
          <t>tests/e2e/global-setup.ts ลบข้อมูลของหอทดสอบแล้วใส่ใหม่ทุกรอบด้วย SQL แบบ parameterized: หอ 2 หอ ห้อง E101/F201 ผู้เช่า สัญญา CTR-E2E-E101 บิล E2E-202607-E101</t>
        </is>
      </c>
    </row>
    <row r="25" ht="28" customHeight="1">
      <c r="B25" s="13" t="inlineStr">
        <is>
          <t>ข้อมูลที่เทสต์สร้าง</t>
        </is>
      </c>
      <c r="C25" s="4" t="inlineStr">
        <is>
          <t>เคสรอบบิลครบวงจรสร้างเจ้าของหอ หอพัก และผู้เช่าใหม่ ชื่อลงท้ายด้วยเวลาและตัวสุ่ม จึงรันซ้ำได้โดยไม่ชนกัน</t>
        </is>
      </c>
    </row>
    <row r="26" ht="28" customHeight="1">
      <c r="B26" s="13" t="inlineStr">
        <is>
          <t>ความปลอดภัยของข้อมูล</t>
        </is>
      </c>
      <c r="C26" s="4" t="inlineStr">
        <is>
          <t>ใช้โดเมน .test ที่ไม่มีอยู่จริง · ไม่มีรหัสผ่านจริงในรายงาน · สคริปต์ปฏิเสธฐานที่ชื่อไม่มีคำว่า test</t>
        </is>
      </c>
    </row>
    <row r="28">
      <c r="B28" s="7" t="inlineStr">
        <is>
          <t>4. การจัดการผลและข้อบกพร่อง</t>
        </is>
      </c>
    </row>
    <row r="29" ht="15" customHeight="1">
      <c r="B29" s="4" t="inlineStr">
        <is>
          <t>•  Status ใช้ 4 ค่า: Pass / Fail / Block (รันไม่ได้เพราะสภาพแวดล้อม) / Untested</t>
        </is>
      </c>
    </row>
    <row r="30" ht="30" customHeight="1">
      <c r="B30" s="4" t="inlineStr">
        <is>
          <t>•  เคส Fail ต้องวิเคราะห์ก่อนว่าเป็นบัคของระบบหรือของสคริปต์ ถ้าเป็นบัคของระบบจึงออก Defect ID ในชีต Defects</t>
        </is>
      </c>
    </row>
    <row r="31" ht="15" customHeight="1">
      <c r="B31" s="4" t="inlineStr">
        <is>
          <t>•  แก้แล้วต้องรันเคสเดิมซ้ำและบันทึกผล Retest พร้อมหลักฐาน</t>
        </is>
      </c>
    </row>
  </sheetData>
  <mergeCells count="6">
    <mergeCell ref="B31:E31"/>
    <mergeCell ref="B30:E30"/>
    <mergeCell ref="B29:E29"/>
    <mergeCell ref="C26:E26"/>
    <mergeCell ref="C25:E25"/>
    <mergeCell ref="C24:E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34" customWidth="1" min="3" max="3"/>
    <col width="30" customWidth="1" min="4" max="4"/>
    <col width="40" customWidth="1" min="5" max="5"/>
    <col width="30" customWidth="1" min="6" max="6"/>
    <col width="36" customWidth="1" min="7" max="7"/>
    <col width="38" customWidth="1" min="8" max="8"/>
    <col width="11" customWidth="1" min="9" max="9"/>
    <col width="14" customWidth="1" min="10" max="10"/>
    <col width="14" customWidth="1" min="11" max="11"/>
    <col width="26" customWidth="1" min="12" max="12"/>
    <col width="18" customWidth="1" min="13" max="13"/>
    <col width="17" customWidth="1" min="14" max="14"/>
    <col width="47.6" customWidth="1" min="15" max="15"/>
    <col width="36" customWidth="1" min="16" max="16"/>
  </cols>
  <sheetData>
    <row r="1" ht="24" customHeight="1">
      <c r="A1" s="15" t="inlineStr">
        <is>
          <t>1. ข้อมูลระดับโครงสร้างและเคสทดสอบ (Test Setup)</t>
        </is>
      </c>
      <c r="B1" s="16" t="n"/>
      <c r="C1" s="16" t="n"/>
      <c r="D1" s="16" t="n"/>
      <c r="E1" s="16" t="n"/>
      <c r="F1" s="16" t="n"/>
      <c r="G1" s="16" t="n"/>
      <c r="H1" s="17" t="inlineStr">
        <is>
          <t>2. ผลการทดสอบและการแจ้งบัค (Execution &amp; Bug Tracking)</t>
        </is>
      </c>
      <c r="I1" s="18" t="n"/>
      <c r="J1" s="18" t="n"/>
      <c r="K1" s="18" t="n"/>
      <c r="L1" s="19" t="inlineStr">
        <is>
          <t>3. การบันทึกและจัดการ (Metadata &amp; Evidence)</t>
        </is>
      </c>
      <c r="M1" s="20" t="n"/>
      <c r="N1" s="20" t="n"/>
      <c r="O1" s="20" t="n"/>
      <c r="P1" s="20" t="n"/>
    </row>
    <row r="2" ht="30" customHeight="1">
      <c r="A2" s="21" t="inlineStr">
        <is>
          <t>Test Case ID</t>
        </is>
      </c>
      <c r="B2" s="21" t="inlineStr">
        <is>
          <t>Module / Feature</t>
        </is>
      </c>
      <c r="C2" s="21" t="inlineStr">
        <is>
          <t>Test Scenario / Title</t>
        </is>
      </c>
      <c r="D2" s="21" t="inlineStr">
        <is>
          <t>Pre-conditions</t>
        </is>
      </c>
      <c r="E2" s="21" t="inlineStr">
        <is>
          <t>Test Steps</t>
        </is>
      </c>
      <c r="F2" s="21" t="inlineStr">
        <is>
          <t>Test Data</t>
        </is>
      </c>
      <c r="G2" s="21" t="inlineStr">
        <is>
          <t>Expected Result</t>
        </is>
      </c>
      <c r="H2" s="22" t="inlineStr">
        <is>
          <t>Actual Result</t>
        </is>
      </c>
      <c r="I2" s="22" t="inlineStr">
        <is>
          <t>Status</t>
        </is>
      </c>
      <c r="J2" s="22" t="inlineStr">
        <is>
          <t>Defect ID / Bug Link</t>
        </is>
      </c>
      <c r="K2" s="22" t="inlineStr">
        <is>
          <t>Severity / Priority</t>
        </is>
      </c>
      <c r="L2" s="23" t="inlineStr">
        <is>
          <t>Environment</t>
        </is>
      </c>
      <c r="M2" s="23" t="inlineStr">
        <is>
          <t>Tester Name</t>
        </is>
      </c>
      <c r="N2" s="23" t="inlineStr">
        <is>
          <t>Execution Date</t>
        </is>
      </c>
      <c r="O2" s="23" t="inlineStr">
        <is>
          <t>Screenshot / Evidence Link</t>
        </is>
      </c>
      <c r="P2" s="23" t="inlineStr">
        <is>
          <t>Remarks / Note</t>
        </is>
      </c>
    </row>
    <row r="3" ht="165" customHeight="1">
      <c r="A3" s="24" t="inlineStr">
        <is>
          <t>TC_UI_A11Y_001</t>
        </is>
      </c>
      <c r="B3" s="25" t="inlineStr">
        <is>
          <t>Accessibility</t>
        </is>
      </c>
      <c r="C3" s="25" t="inlineStr">
        <is>
          <t>ผลค้นหาว่างแสดงกะทัดรัด อยู่กลาง และสีแดงอ่านชัด</t>
        </is>
      </c>
      <c r="D3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3" s="25" t="inlineStr">
        <is>
          <t>1. เปิดหน้าสัญญาเช่า
2. ค้นหาคำที่ไม่มีผล
3. วัดตำแหน่งและ contrast ของข้อความ</t>
        </is>
      </c>
      <c r="F3" s="25" t="inlineStr">
        <is>
          <t>คำค้นที่ไม่มีผล</t>
        </is>
      </c>
      <c r="G3" s="25" t="inlineStr">
        <is>
          <t>ข้อความอยู่กลาง ขนาดกะทัดรัด · contrast ≥ 4.5:1</t>
        </is>
      </c>
      <c r="H3" s="25" t="inlineStr">
        <is>
          <t>ผลตรงตามที่คาดหวัง — assertion ผ่านครบ (11.72 วินาที)</t>
        </is>
      </c>
      <c r="I3" s="26" t="inlineStr">
        <is>
          <t>Pass</t>
        </is>
      </c>
      <c r="J3" s="25" t="n"/>
      <c r="K3" s="25" t="n"/>
      <c r="L3" s="25" t="inlineStr">
        <is>
          <t>DEV (127.0.0.1:3317 · next dev) · Chromium (Playwright 1.62) headless · 1280×720 · PostgreSQL 17.10 (nestly_test) · Windows 11</t>
        </is>
      </c>
      <c r="M3" s="25" t="inlineStr">
        <is>
          <t>Playwright 1.62 (อัตโนมัติ)</t>
        </is>
      </c>
      <c r="N3" s="27" t="n">
        <v>46324.80037458333</v>
      </c>
      <c r="O3" s="28" t="inlineStr">
        <is>
          <t>evidence-ui/TC_UI_A11Y_001.png</t>
        </is>
      </c>
      <c r="P3" s="25" t="inlineStr">
        <is>
          <t>ผลจากรอบที่ 2 — รันซ้ำเฉพาะเคสที่ไม่ผ่าน
สคริปต์: tests/e2e/accessibility-controls.spec.ts
ชื่อเทสต์: Owner accessibility controls › empty search results are compact, centered and clearly red</t>
        </is>
      </c>
    </row>
    <row r="4" ht="165" customHeight="1">
      <c r="A4" s="24" t="inlineStr">
        <is>
          <t>TC_UI_A11Y_002</t>
        </is>
      </c>
      <c r="B4" s="25" t="inlineStr">
        <is>
          <t>Accessibility</t>
        </is>
      </c>
      <c r="C4" s="25" t="inlineStr">
        <is>
          <t>แถบเครื่องมือแก้เอกสารบอกสถานะปุ่ม ใช้ลูกศรได้ และมี tooltip เมื่อ focus</t>
        </is>
      </c>
      <c r="D4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4" s="25" t="inlineStr">
        <is>
          <t>1. เปิดหน้าแก้เทมเพลตสัญญา
2. ใช้ ArrowRight/Home/End ในแถบเครื่องมือ
3. ตรวจ aria-pressed และ tooltip</t>
        </is>
      </c>
      <c r="F4" s="25" t="inlineStr">
        <is>
          <t>/settings/documents/contract/edit</t>
        </is>
      </c>
      <c r="G4" s="25" t="inlineStr">
        <is>
          <t>focus ย้ายตามลูกศร · ปุ่มเปิด/ปิดมี aria-pressed · tooltip แสดงเมื่อ focus</t>
        </is>
      </c>
      <c r="H4" s="25" t="inlineStr">
        <is>
          <t>ผลตรงตามที่คาดหวัง — assertion ผ่านครบ (9.49 วินาที)</t>
        </is>
      </c>
      <c r="I4" s="26" t="inlineStr">
        <is>
          <t>Pass</t>
        </is>
      </c>
      <c r="J4" s="25" t="n"/>
      <c r="K4" s="25" t="n"/>
      <c r="L4" s="25" t="inlineStr">
        <is>
          <t>DEV (127.0.0.1:3317 · next dev) · Chromium (Playwright 1.62) headless · 1280×720 · PostgreSQL 17.10 (nestly_test) · Windows 11</t>
        </is>
      </c>
      <c r="M4" s="25" t="inlineStr">
        <is>
          <t>Playwright 1.62 (อัตโนมัติ)</t>
        </is>
      </c>
      <c r="N4" s="27" t="n">
        <v>46324.7917053588</v>
      </c>
      <c r="O4" s="28" t="inlineStr">
        <is>
          <t>evidence-ui/TC_UI_A11Y_002.png</t>
        </is>
      </c>
      <c r="P4" s="25" t="inlineStr">
        <is>
          <t>ผลจากรอบที่ 1 — รันทั้งชุด
สคริปต์: tests/e2e/accessibility-controls.spec.ts
ชื่อเทสต์: Owner accessibility controls › document toolbar exposes toggle state, keyboard navigation and focus tooltips</t>
        </is>
      </c>
    </row>
    <row r="5" ht="165" customHeight="1">
      <c r="A5" s="24" t="inlineStr">
        <is>
          <t>TC_UI_A11Y_003</t>
        </is>
      </c>
      <c r="B5" s="25" t="inlineStr">
        <is>
          <t>Accessibility</t>
        </is>
      </c>
      <c r="C5" s="25" t="inlineStr">
        <is>
          <t>กรอบ focus ของลิงก์ ช่องกรอก การ์ด และแท็บเป็นแบบเดียวกัน</t>
        </is>
      </c>
      <c r="D5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5" s="25" t="inlineStr">
        <is>
          <t>1. เปิดหน้าประกาศและห้องพัก
2. Tab ไปยังองค์ประกอบแต่ละแบบ
3. อ่าน outline ที่คำนวณได้</t>
        </is>
      </c>
      <c r="F5" s="25" t="inlineStr">
        <is>
          <t>ลิงก์ · ช่องกรอก · การ์ด · แท็บ</t>
        </is>
      </c>
      <c r="G5" s="25" t="inlineStr">
        <is>
          <t>ทุกแบบมีกรอบ focus ที่มองเห็นและสไตล์เดียวกัน</t>
        </is>
      </c>
      <c r="H5" s="25" t="inlineStr">
        <is>
          <t>ผลตรงตามที่คาดหวัง — assertion ผ่านครบ (9.89 วินาที)</t>
        </is>
      </c>
      <c r="I5" s="26" t="inlineStr">
        <is>
          <t>Pass</t>
        </is>
      </c>
      <c r="J5" s="25" t="n"/>
      <c r="K5" s="25" t="n"/>
      <c r="L5" s="25" t="inlineStr">
        <is>
          <t>DEV (127.0.0.1:3317 · next dev) · Chromium (Playwright 1.62) headless · 1280×720 · PostgreSQL 17.10 (nestly_test) · Windows 11</t>
        </is>
      </c>
      <c r="M5" s="25" t="inlineStr">
        <is>
          <t>Playwright 1.62 (อัตโนมัติ)</t>
        </is>
      </c>
      <c r="N5" s="27" t="n">
        <v>46324.791819375</v>
      </c>
      <c r="O5" s="28" t="inlineStr">
        <is>
          <t>evidence-ui/TC_UI_A11Y_003.png</t>
        </is>
      </c>
      <c r="P5" s="25" t="inlineStr">
        <is>
          <t>ผลจากรอบที่ 1 — รันทั้งชุด
สคริปต์: tests/e2e/accessibility-controls.spec.ts
ชื่อเทสต์: Owner accessibility controls › focus indicators are consistent for links, fields, cards and tabs</t>
        </is>
      </c>
    </row>
    <row r="6" ht="165" customHeight="1">
      <c r="A6" s="24" t="inlineStr">
        <is>
          <t>TC_UI_A11Y_004</t>
        </is>
      </c>
      <c r="B6" s="25" t="inlineStr">
        <is>
          <t>Accessibility</t>
        </is>
      </c>
      <c r="C6" s="25" t="inlineStr">
        <is>
          <t>dropdown ใช้คีย์บอร์ดได้ครบและพิมพ์ตัวอักษรเพื่อกระโดดได้ (type-ahead)</t>
        </is>
      </c>
      <c r="D6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6" s="25" t="inlineStr">
        <is>
          <t>1. เปิดหน้าบิล
2. ใช้ ArrowDown/End/Home
3. พิมพ์ตัวอักษร
4. Enter / Space / Escape</t>
        </is>
      </c>
      <c r="F6" s="25" t="inlineStr">
        <is>
          <t>dropdown ตัวกรองสถานะ</t>
        </is>
      </c>
      <c r="G6" s="25" t="inlineStr">
        <is>
          <t>ตัวเลือกที่ active ย้ายถูกต้อง · type-ahead ไปตัวเลือกที่ตรง · Esc ปิด</t>
        </is>
      </c>
      <c r="H6" s="25" t="inlineStr">
        <is>
          <t>ผลตรงตามที่คาดหวัง — assertion ผ่านครบ (4.28 วินาที)</t>
        </is>
      </c>
      <c r="I6" s="26" t="inlineStr">
        <is>
          <t>Pass</t>
        </is>
      </c>
      <c r="J6" s="25" t="n"/>
      <c r="K6" s="25" t="n"/>
      <c r="L6" s="25" t="inlineStr">
        <is>
          <t>DEV (127.0.0.1:3317 · next dev) · Chromium (Playwright 1.62) headless · 1280×720 · PostgreSQL 17.10 (nestly_test) · Windows 11</t>
        </is>
      </c>
      <c r="M6" s="25" t="inlineStr">
        <is>
          <t>Playwright 1.62 (อัตโนมัติ)</t>
        </is>
      </c>
      <c r="N6" s="27" t="n">
        <v>46324.79193394676</v>
      </c>
      <c r="O6" s="28" t="inlineStr">
        <is>
          <t>evidence-ui/TC_UI_A11Y_004.png</t>
        </is>
      </c>
      <c r="P6" s="25" t="inlineStr">
        <is>
          <t>ผลจากรอบที่ 1 — รันทั้งชุด
สคริปต์: tests/e2e/accessibility-controls.spec.ts
ชื่อเทสต์: Owner accessibility controls › dropdown supports complete keyboard navigation and type-ahead</t>
        </is>
      </c>
    </row>
    <row r="7" ht="180" customHeight="1">
      <c r="A7" s="24" t="inlineStr">
        <is>
          <t>TC_UI_A11Y_005</t>
        </is>
      </c>
      <c r="B7" s="25" t="inlineStr">
        <is>
          <t>Accessibility</t>
        </is>
      </c>
      <c r="C7" s="25" t="inlineStr">
        <is>
          <t>เมนูคีย์บอร์ด tooltip contrast และปุ่มมือถือเป็นไปตามข้อกำหนด UI (เจ้าของหอ)</t>
        </is>
      </c>
      <c r="D7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7" s="25" t="inlineStr">
        <is>
          <t>1. เปิดเมนูจัดการด้วยคีย์บอร์ด
2. ตรวจ tooltip และ contrast
3. ตั้งจอมือถือแล้ววัดขนาดปุ่ม</t>
        </is>
      </c>
      <c r="F7" s="25" t="inlineStr">
        <is>
          <t>viewport มือถือ</t>
        </is>
      </c>
      <c r="G7" s="25" t="inlineStr">
        <is>
          <t>เมนูทำงาน · contrast ผ่าน · ปุ่ม ≥ 44×44 px</t>
        </is>
      </c>
      <c r="H7" s="25" t="inlineStr">
        <is>
          <t>ผลตรงตามที่คาดหวัง — assertion ผ่านครบ (5.93 วินาที)</t>
        </is>
      </c>
      <c r="I7" s="26" t="inlineStr">
        <is>
          <t>Pass</t>
        </is>
      </c>
      <c r="J7" s="25" t="n"/>
      <c r="K7" s="25" t="n"/>
      <c r="L7" s="25" t="inlineStr">
        <is>
          <t>DEV (127.0.0.1:3317 · next dev) · Chromium (Playwright 1.62) headless · 1280×720 · PostgreSQL 17.10 (nestly_test) · Windows 11</t>
        </is>
      </c>
      <c r="M7" s="25" t="inlineStr">
        <is>
          <t>Playwright 1.62 (อัตโนมัติ)</t>
        </is>
      </c>
      <c r="N7" s="27" t="n">
        <v>46324.79198361111</v>
      </c>
      <c r="O7" s="28" t="inlineStr">
        <is>
          <t>evidence-ui/TC_UI_A11Y_005.png</t>
        </is>
      </c>
      <c r="P7" s="25" t="inlineStr">
        <is>
          <t>ผลจากรอบที่ 1 — รันทั้งชุด
สคริปต์: tests/e2e/accessibility-controls.spec.ts
ชื่อเทสต์: Owner accessibility controls › keyboard menu, tooltip, contrast and mobile targets meet the UI contract</t>
        </is>
      </c>
    </row>
    <row r="8" ht="180" customHeight="1">
      <c r="A8" s="24" t="inlineStr">
        <is>
          <t>TC_UI_A11Y_006</t>
        </is>
      </c>
      <c r="B8" s="25" t="inlineStr">
        <is>
          <t>Accessibility</t>
        </is>
      </c>
      <c r="C8" s="25" t="inlineStr">
        <is>
          <t>tooltip คีย์บอร์ด contrast และปุ่มมือถือเป็นไปตามข้อกำหนด UI (ผู้เช่า/Super Admin)</t>
        </is>
      </c>
      <c r="D8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เข้าสู่ระบบทั้ง 3 บทบาท</t>
        </is>
      </c>
      <c r="E8" s="25" t="inlineStr">
        <is>
          <t>1. Tab ไปปุ่มไอคอน
2. ตรวจ tooltip และ contrast
3. ตั้งจอมือถือแล้ววัดขนาดปุ่ม</t>
        </is>
      </c>
      <c r="F8" s="25" t="inlineStr">
        <is>
          <t>viewport มือถือ</t>
        </is>
      </c>
      <c r="G8" s="25" t="inlineStr">
        <is>
          <t>tooltip แสดงเมื่อ focus · contrast ผ่าน · ปุ่ม ≥ 44×44 px</t>
        </is>
      </c>
      <c r="H8" s="25" t="inlineStr">
        <is>
          <t>ผลตรงตามที่คาดหวัง — assertion ผ่านครบ (6.13 วินาที)</t>
        </is>
      </c>
      <c r="I8" s="26" t="inlineStr">
        <is>
          <t>Pass</t>
        </is>
      </c>
      <c r="J8" s="25" t="n"/>
      <c r="K8" s="25" t="n"/>
      <c r="L8" s="25" t="inlineStr">
        <is>
          <t>DEV (127.0.0.1:3317 · next dev) · Chromium (Playwright 1.62) headless · 1280×720 · PostgreSQL 17.10 (nestly_test) · Windows 11</t>
        </is>
      </c>
      <c r="M8" s="25" t="inlineStr">
        <is>
          <t>Playwright 1.62 (อัตโนมัติ)</t>
        </is>
      </c>
      <c r="N8" s="27" t="n">
        <v>46324.79205238426</v>
      </c>
      <c r="O8" s="28" t="inlineStr">
        <is>
          <t>evidence-ui/TC_UI_A11Y_006.png</t>
        </is>
      </c>
      <c r="P8" s="25" t="inlineStr">
        <is>
          <t>ผลจากรอบที่ 1 — รันทั้งชุด
สคริปต์: tests/e2e/accessibility-controls.spec.ts
ชื่อเทสต์: Tenant accessibility controls › keyboard tooltip, contrast and mobile targets meet the UI contract</t>
        </is>
      </c>
    </row>
    <row r="9" ht="165" customHeight="1">
      <c r="A9" s="24" t="inlineStr">
        <is>
          <t>TC_UI_LOGIN_001</t>
        </is>
      </c>
      <c r="B9" s="25" t="inlineStr">
        <is>
          <t>Login</t>
        </is>
      </c>
      <c r="C9" s="25" t="inlineStr">
        <is>
          <t>เข้าสู่ระบบด้วยบัญชีที่ไม่มีอยู่ ระบบไม่บอกว่าบัญชีมีจริงหรือไม่</t>
        </is>
      </c>
      <c r="D9" s="25" t="inlineStr">
        <is>
          <t>อยู่หน้า /login ยังไม่เข้าสู่ระบบ</t>
        </is>
      </c>
      <c r="E9" s="25" t="inlineStr">
        <is>
          <t>1. เปิด /login
2. กรอกอีเมลที่ไม่มีในระบบ
3. กรอกรหัสผ่านผิด
4. กดเข้าสู่ระบบ</t>
        </is>
      </c>
      <c r="F9" s="25" t="inlineStr">
        <is>
          <t>Email: unknown@example.com
Password: incorrect-password</t>
        </is>
      </c>
      <c r="G9" s="25" t="inlineStr">
        <is>
          <t>แสดง alert "อีเมลหรือรหัสผ่านไม่ถูกต้อง" และยังอยู่หน้า /login</t>
        </is>
      </c>
      <c r="H9" s="25" t="inlineStr">
        <is>
          <t>ผลตรงตามที่คาดหวัง — assertion ผ่านครบ (3.44 วินาที)</t>
        </is>
      </c>
      <c r="I9" s="26" t="inlineStr">
        <is>
          <t>Pass</t>
        </is>
      </c>
      <c r="J9" s="25" t="n"/>
      <c r="K9" s="25" t="n"/>
      <c r="L9" s="25" t="inlineStr">
        <is>
          <t>DEV (127.0.0.1:3317 · next dev) · Chromium (Playwright 1.62) headless · 1280×720 · PostgreSQL 17.10 (nestly_test) · Windows 11</t>
        </is>
      </c>
      <c r="M9" s="25" t="inlineStr">
        <is>
          <t>Playwright 1.62 (อัตโนมัติ)</t>
        </is>
      </c>
      <c r="N9" s="27" t="n">
        <v>46324.79212358796</v>
      </c>
      <c r="O9" s="28" t="inlineStr">
        <is>
          <t>evidence-ui/TC_UI_LOGIN_001.png</t>
        </is>
      </c>
      <c r="P9" s="25" t="inlineStr">
        <is>
          <t>ผลจากรอบที่ 1 — รันทั้งชุด
สคริปต์: tests/e2e/auth-dashboard.spec.ts
ชื่อเทสต์: rejects invalid credentials without leaking account state</t>
        </is>
      </c>
    </row>
    <row r="10" ht="165" customHeight="1">
      <c r="A10" s="24" t="inlineStr">
        <is>
          <t>TC_UI_SADMIN_001</t>
        </is>
      </c>
      <c r="B10" s="25" t="inlineStr">
        <is>
          <t>Super Admin Dashboard</t>
        </is>
      </c>
      <c r="C10" s="25" t="inlineStr">
        <is>
          <t>Super Admin เข้าสู่ระบบแล้วเปิดแดชบอร์ด SaaS และเมนูหลักได้ครบ</t>
        </is>
      </c>
      <c r="D10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</t>
        </is>
      </c>
      <c r="E10" s="25" t="inlineStr">
        <is>
          <t>1. เปิด /login แล้วเข้าสู่ระบบด้วย Super Admin
2. ตรวจหน้าแดชบอร์ด
3. กดเมนูหลักทีละเมนู</t>
        </is>
      </c>
      <c r="F10" s="25" t="inlineStr">
        <is>
          <t>Email: e2e-super-admin@example.test
Password: (ค่าทดสอบจาก tests/e2e/fixtures.ts)</t>
        </is>
      </c>
      <c r="G10" s="25" t="inlineStr">
        <is>
          <t>ไปที่ /super-admin มีหัวข้อ "แดชบอร์ด" และ "MRR" · ทุกเมนูเปิดหน้าที่ถูกต้องพร้อมหัวข้อของหน้า</t>
        </is>
      </c>
      <c r="H10" s="25" t="inlineStr">
        <is>
          <t>ผลตรงตามที่คาดหวัง — assertion ผ่านครบ (12.39 วินาที)</t>
        </is>
      </c>
      <c r="I10" s="26" t="inlineStr">
        <is>
          <t>Pass</t>
        </is>
      </c>
      <c r="J10" s="25" t="n"/>
      <c r="K10" s="25" t="n"/>
      <c r="L10" s="25" t="inlineStr">
        <is>
          <t>DEV (127.0.0.1:3317 · next dev) · Chromium (Playwright 1.62) headless · 1280×720 · PostgreSQL 17.10 (nestly_test) · Windows 11</t>
        </is>
      </c>
      <c r="M10" s="25" t="inlineStr">
        <is>
          <t>Playwright 1.62 (อัตโนมัติ)</t>
        </is>
      </c>
      <c r="N10" s="27" t="n">
        <v>46324.79216351852</v>
      </c>
      <c r="O10" s="28" t="inlineStr">
        <is>
          <t>evidence-ui/TC_UI_SADMIN_001.png</t>
        </is>
      </c>
      <c r="P10" s="25" t="inlineStr">
        <is>
          <t>ผลจากรอบที่ 1 — รันทั้งชุด
สคริปต์: tests/e2e/auth-dashboard.spec.ts
ชื่อเทสต์: super admin can open the aggregated SaaS dashboard</t>
        </is>
      </c>
    </row>
    <row r="11" ht="165" customHeight="1">
      <c r="A11" s="24" t="inlineStr">
        <is>
          <t>TC_UI_CONTRAST_001</t>
        </is>
      </c>
      <c r="B11" s="25" t="inlineStr">
        <is>
          <t>Color Contrast (WCAG)</t>
        </is>
      </c>
      <c r="C11" s="25" t="inlineStr">
        <is>
          <t>ข้อความและปุ่มทุกสถานะมีความต่างสีผ่าน WCAG AA</t>
        </is>
      </c>
      <c r="D11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11" s="25" t="inlineStr">
        <is>
          <t>1. เปิดหน้าประกาศและมิเตอร์น้ำ
2. คำนวณ contrast ของหัวข้อ ลิงก์ ปุ่ม ทั้ง default/hover/focus</t>
        </is>
      </c>
      <c r="F11" s="25" t="inlineStr">
        <is>
          <t>เกณฑ์ข้อความ 4.5:1</t>
        </is>
      </c>
      <c r="G11" s="25" t="inlineStr">
        <is>
          <t>ทุกจุดมี contrast ≥ 4.5:1</t>
        </is>
      </c>
      <c r="H11" s="25" t="inlineStr">
        <is>
          <t>ผลตรงตามที่คาดหวัง — assertion ผ่านครบ (4.97 วินาที)</t>
        </is>
      </c>
      <c r="I11" s="26" t="inlineStr">
        <is>
          <t>Pass</t>
        </is>
      </c>
      <c r="J11" s="25" t="n"/>
      <c r="K11" s="25" t="n"/>
      <c r="L11" s="25" t="inlineStr">
        <is>
          <t>DEV (127.0.0.1:3317 · next dev) · Chromium (Playwright 1.62) headless · 1280×720 · PostgreSQL 17.10 (nestly_test) · Windows 11</t>
        </is>
      </c>
      <c r="M11" s="25" t="inlineStr">
        <is>
          <t>Playwright 1.62 (อัตโนมัติ)</t>
        </is>
      </c>
      <c r="N11" s="27" t="n">
        <v>46324.80051377315</v>
      </c>
      <c r="O11" s="28" t="inlineStr">
        <is>
          <t>evidence-ui/TC_UI_CONTRAST_001.png</t>
        </is>
      </c>
      <c r="P11" s="25" t="inlineStr">
        <is>
          <t>ผลจากรอบที่ 2 — รันซ้ำเฉพาะเคสที่ไม่ผ่าน
สคริปต์: tests/e2e/contrast.spec.ts
ชื่อเทสต์: computed WCAG contrast › text and interactive states meet WCAG AA</t>
        </is>
      </c>
    </row>
    <row r="12" ht="165" customHeight="1">
      <c r="A12" s="24" t="inlineStr">
        <is>
          <t>TC_UI_CONTRAST_002</t>
        </is>
      </c>
      <c r="B12" s="25" t="inlineStr">
        <is>
          <t>Color Contrast (WCAG)</t>
        </is>
      </c>
      <c r="C12" s="25" t="inlineStr">
        <is>
          <t>ไอคอนมีความต่างสีพอทั้ง default/hover/focus</t>
        </is>
      </c>
      <c r="D12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12" s="25" t="inlineStr">
        <is>
          <t>1. เปิดหน้าประกาศ
2. วัด contrast ของไอคอน</t>
        </is>
      </c>
      <c r="F12" s="25" t="inlineStr">
        <is>
          <t>เกณฑ์ non-text 3:1</t>
        </is>
      </c>
      <c r="G12" s="25" t="inlineStr">
        <is>
          <t>ไอคอนทุกสถานะ ≥ 3:1</t>
        </is>
      </c>
      <c r="H12" s="25" t="inlineStr">
        <is>
          <t>ผลตรงตามที่คาดหวัง — assertion ผ่านครบ (4.65 วินาที)</t>
        </is>
      </c>
      <c r="I12" s="26" t="inlineStr">
        <is>
          <t>Pass</t>
        </is>
      </c>
      <c r="J12" s="25" t="n"/>
      <c r="K12" s="25" t="n"/>
      <c r="L12" s="25" t="inlineStr">
        <is>
          <t>DEV (127.0.0.1:3317 · next dev) · Chromium (Playwright 1.62) headless · 1280×720 · PostgreSQL 17.10 (nestly_test) · Windows 11</t>
        </is>
      </c>
      <c r="M12" s="25" t="inlineStr">
        <is>
          <t>Playwright 1.62 (อัตโนมัติ)</t>
        </is>
      </c>
      <c r="N12" s="27" t="n">
        <v>46324.79244502315</v>
      </c>
      <c r="O12" s="28" t="inlineStr">
        <is>
          <t>evidence-ui/TC_UI_CONTRAST_002.png</t>
        </is>
      </c>
      <c r="P12" s="25" t="inlineStr">
        <is>
          <t>ผลจากรอบที่ 1 — รันทั้งชุด
สคริปต์: tests/e2e/contrast.spec.ts
ชื่อเทสต์: computed WCAG contrast › icons expose non-text contrast in default, hover and focus states</t>
        </is>
      </c>
    </row>
    <row r="13" ht="165" customHeight="1">
      <c r="A13" s="24" t="inlineStr">
        <is>
          <t>TC_UI_CONTRAST_003</t>
        </is>
      </c>
      <c r="B13" s="25" t="inlineStr">
        <is>
          <t>Color Contrast (WCAG)</t>
        </is>
      </c>
      <c r="C13" s="25" t="inlineStr">
        <is>
          <t>ป้ายสถานะ (badge) อ่านได้ชัด</t>
        </is>
      </c>
      <c r="D13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13" s="25" t="inlineStr">
        <is>
          <t>1. วัด contrast ของ badge สถานะเผยแพร่</t>
        </is>
      </c>
      <c r="F13" s="25" t="inlineStr">
        <is>
          <t>เกณฑ์ 4.5:1</t>
        </is>
      </c>
      <c r="G13" s="25" t="inlineStr">
        <is>
          <t>badge ≥ 4.5:1</t>
        </is>
      </c>
      <c r="H13" s="25" t="inlineStr">
        <is>
          <t>ผลตรงตามที่คาดหวัง — assertion ผ่านครบ (4.27 วินาที)</t>
        </is>
      </c>
      <c r="I13" s="26" t="inlineStr">
        <is>
          <t>Pass</t>
        </is>
      </c>
      <c r="J13" s="25" t="n"/>
      <c r="K13" s="25" t="n"/>
      <c r="L13" s="25" t="inlineStr">
        <is>
          <t>DEV (127.0.0.1:3317 · next dev) · Chromium (Playwright 1.62) headless · 1280×720 · PostgreSQL 17.10 (nestly_test) · Windows 11</t>
        </is>
      </c>
      <c r="M13" s="25" t="inlineStr">
        <is>
          <t>Playwright 1.62 (อัตโนมัติ)</t>
        </is>
      </c>
      <c r="N13" s="27" t="n">
        <v>46324.79250371527</v>
      </c>
      <c r="O13" s="28" t="inlineStr">
        <is>
          <t>evidence-ui/TC_UI_CONTRAST_003.png</t>
        </is>
      </c>
      <c r="P13" s="25" t="inlineStr">
        <is>
          <t>ผลจากรอบที่ 1 — รันทั้งชุด
สคริปต์: tests/e2e/contrast.spec.ts
ชื่อเทสต์: computed WCAG contrast › badges meet text contrast requirements</t>
        </is>
      </c>
    </row>
    <row r="14" ht="165" customHeight="1">
      <c r="A14" s="24" t="inlineStr">
        <is>
          <t>TC_UI_CONTRAST_004</t>
        </is>
      </c>
      <c r="B14" s="25" t="inlineStr">
        <is>
          <t>Color Contrast (WCAG)</t>
        </is>
      </c>
      <c r="C14" s="25" t="inlineStr">
        <is>
          <t>ขอบช่องกรอกและปุ่มมองเห็นชัด</t>
        </is>
      </c>
      <c r="D14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14" s="25" t="inlineStr">
        <is>
          <t>1. วัด contrast ของเส้นขอบช่องกรอกและปุ่มกับพื้นหลัง</t>
        </is>
      </c>
      <c r="F14" s="25" t="inlineStr">
        <is>
          <t>เกณฑ์ non-text 3:1</t>
        </is>
      </c>
      <c r="G14" s="25" t="inlineStr">
        <is>
          <t>เส้นขอบ ≥ 3:1</t>
        </is>
      </c>
      <c r="H14" s="25" t="inlineStr">
        <is>
          <t>ผลตรงตามที่คาดหวัง — assertion ผ่านครบ (4.07 วินาที)</t>
        </is>
      </c>
      <c r="I14" s="26" t="inlineStr">
        <is>
          <t>Pass</t>
        </is>
      </c>
      <c r="J14" s="25" t="n"/>
      <c r="K14" s="25" t="n"/>
      <c r="L14" s="25" t="inlineStr">
        <is>
          <t>DEV (127.0.0.1:3317 · next dev) · Chromium (Playwright 1.62) headless · 1280×720 · PostgreSQL 17.10 (nestly_test) · Windows 11</t>
        </is>
      </c>
      <c r="M14" s="25" t="inlineStr">
        <is>
          <t>Playwright 1.62 (อัตโนมัติ)</t>
        </is>
      </c>
      <c r="N14" s="27" t="n">
        <v>46324.79255331019</v>
      </c>
      <c r="O14" s="28" t="inlineStr">
        <is>
          <t>evidence-ui/TC_UI_CONTRAST_004.png</t>
        </is>
      </c>
      <c r="P14" s="25" t="inlineStr">
        <is>
          <t>ผลจากรอบที่ 1 — รันทั้งชุด
สคริปต์: tests/e2e/contrast.spec.ts
ชื่อเทสต์: computed WCAG contrast › input and button boundaries meet non-text contrast requirements</t>
        </is>
      </c>
    </row>
    <row r="15" ht="165" customHeight="1">
      <c r="A15" s="24" t="inlineStr">
        <is>
          <t>TC_UI_CONTRAST_005</t>
        </is>
      </c>
      <c r="B15" s="25" t="inlineStr">
        <is>
          <t>Color Contrast (WCAG)</t>
        </is>
      </c>
      <c r="C15" s="25" t="inlineStr">
        <is>
          <t>ปุ่มทุกแบบผ่าน contrast ทุกสถานะ</t>
        </is>
      </c>
      <c r="D15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15" s="25" t="inlineStr">
        <is>
          <t>1. วัดปุ่ม primary/secondary/danger ทั้ง default/hover/focus/disabled</t>
        </is>
      </c>
      <c r="F15" s="25" t="inlineStr">
        <is>
          <t>เกณฑ์ 4.5:1</t>
        </is>
      </c>
      <c r="G15" s="25" t="inlineStr">
        <is>
          <t>ทุกแบบทุกสถานะผ่านเกณฑ์</t>
        </is>
      </c>
      <c r="H15" s="25" t="inlineStr">
        <is>
          <t>ผลตรงตามที่คาดหวัง — assertion ผ่านครบ (4.35 วินาที)</t>
        </is>
      </c>
      <c r="I15" s="26" t="inlineStr">
        <is>
          <t>Pass</t>
        </is>
      </c>
      <c r="J15" s="25" t="n"/>
      <c r="K15" s="25" t="n"/>
      <c r="L15" s="25" t="inlineStr">
        <is>
          <t>DEV (127.0.0.1:3317 · next dev) · Chromium (Playwright 1.62) headless · 1280×720 · PostgreSQL 17.10 (nestly_test) · Windows 11</t>
        </is>
      </c>
      <c r="M15" s="25" t="inlineStr">
        <is>
          <t>Playwright 1.62 (อัตโนมัติ)</t>
        </is>
      </c>
      <c r="N15" s="27" t="n">
        <v>46324.79260055556</v>
      </c>
      <c r="O15" s="28" t="inlineStr">
        <is>
          <t>evidence-ui/TC_UI_CONTRAST_005.png</t>
        </is>
      </c>
      <c r="P15" s="25" t="inlineStr">
        <is>
          <t>ผลจากรอบที่ 1 — รันทั้งชุด
สคริปต์: tests/e2e/contrast.spec.ts
ชื่อเทสต์: computed WCAG contrast › shared button variants meet text contrast in every interactive state</t>
        </is>
      </c>
    </row>
    <row r="16" ht="165" customHeight="1">
      <c r="A16" s="24" t="inlineStr">
        <is>
          <t>TC_UI_CONTRAST_006</t>
        </is>
      </c>
      <c r="B16" s="25" t="inlineStr">
        <is>
          <t>Color Contrast (WCAG)</t>
        </is>
      </c>
      <c r="C16" s="25" t="inlineStr">
        <is>
          <t>สีข้อความแจ้งผล (สำเร็จ/เตือน/ผิดพลาด/ข้อมูล) อ่านได้และขอบชัด</t>
        </is>
      </c>
      <c r="D16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16" s="25" t="inlineStr">
        <is>
          <t>1. วัดข้อความและขอบของ feedback แต่ละโทน</t>
        </is>
      </c>
      <c r="F16" s="25" t="inlineStr">
        <is>
          <t>success · warning · danger · info</t>
        </is>
      </c>
      <c r="G16" s="25" t="inlineStr">
        <is>
          <t>ข้อความ ≥ 4.5:1 · ขอบ ≥ 3:1</t>
        </is>
      </c>
      <c r="H16" s="25" t="inlineStr">
        <is>
          <t>ผลตรงตามที่คาดหวัง — assertion ผ่านครบ (3.97 วินาที)</t>
        </is>
      </c>
      <c r="I16" s="26" t="inlineStr">
        <is>
          <t>Pass</t>
        </is>
      </c>
      <c r="J16" s="25" t="n"/>
      <c r="K16" s="25" t="n"/>
      <c r="L16" s="25" t="inlineStr">
        <is>
          <t>DEV (127.0.0.1:3317 · next dev) · Chromium (Playwright 1.62) headless · 1280×720 · PostgreSQL 17.10 (nestly_test) · Windows 11</t>
        </is>
      </c>
      <c r="M16" s="25" t="inlineStr">
        <is>
          <t>Playwright 1.62 (อัตโนมัติ)</t>
        </is>
      </c>
      <c r="N16" s="27" t="n">
        <v>46324.79265099537</v>
      </c>
      <c r="O16" s="28" t="inlineStr">
        <is>
          <t>evidence-ui/TC_UI_CONTRAST_006.png</t>
        </is>
      </c>
      <c r="P16" s="25" t="inlineStr">
        <is>
          <t>ผลจากรอบที่ 1 — รันทั้งชุด
สคริปต์: tests/e2e/contrast.spec.ts
ชื่อเทสต์: computed WCAG contrast › semantic feedback colors meet text and boundary contrast contracts</t>
        </is>
      </c>
    </row>
    <row r="17" ht="165" customHeight="1">
      <c r="A17" s="24" t="inlineStr">
        <is>
          <t>TC_UI_CONTRAST_007</t>
        </is>
      </c>
      <c r="B17" s="25" t="inlineStr">
        <is>
          <t>Color Contrast (WCAG)</t>
        </is>
      </c>
      <c r="C17" s="25" t="inlineStr">
        <is>
          <t>เมนู ปุ่มแจ้งเตือน และสถานะฝั่งผู้เช่าผ่าน WCAG AA</t>
        </is>
      </c>
      <c r="D17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e2e-tenant@example.test</t>
        </is>
      </c>
      <c r="E17" s="25" t="inlineStr">
        <is>
          <t>1. เปิด /tenant
2. วัดเมนู ปุ่มแจ้งเตือน และ badge สถานะ</t>
        </is>
      </c>
      <c r="F17" s="25" t="inlineStr">
        <is>
          <t>เกณฑ์ 4.5:1</t>
        </is>
      </c>
      <c r="G17" s="25" t="inlineStr">
        <is>
          <t>ทุกจุดผ่านเกณฑ์</t>
        </is>
      </c>
      <c r="H17" s="25" t="inlineStr">
        <is>
          <t>ผลตรงตามที่คาดหวัง — assertion ผ่านครบ (3.98 วินาที)</t>
        </is>
      </c>
      <c r="I17" s="26" t="inlineStr">
        <is>
          <t>Pass</t>
        </is>
      </c>
      <c r="J17" s="25" t="n"/>
      <c r="K17" s="25" t="n"/>
      <c r="L17" s="25" t="inlineStr">
        <is>
          <t>DEV (127.0.0.1:3317 · next dev) · Chromium (Playwright 1.62) headless · 1280×720 · PostgreSQL 17.10 (nestly_test) · Windows 11</t>
        </is>
      </c>
      <c r="M17" s="25" t="inlineStr">
        <is>
          <t>Playwright 1.62 (อัตโนมัติ)</t>
        </is>
      </c>
      <c r="N17" s="27" t="n">
        <v>46324.79269707176</v>
      </c>
      <c r="O17" s="28" t="inlineStr">
        <is>
          <t>evidence-ui/TC_UI_CONTRAST_007.png</t>
        </is>
      </c>
      <c r="P17" s="25" t="inlineStr">
        <is>
          <t>ผลจากรอบที่ 1 — รันทั้งชุด
สคริปต์: tests/e2e/contrast.spec.ts
ชื่อเทสต์: role-specific computed contrast › Tenant navigation, notification action and statuses meet WCAG AA</t>
        </is>
      </c>
    </row>
    <row r="18" ht="165" customHeight="1">
      <c r="A18" s="24" t="inlineStr">
        <is>
          <t>TC_UI_CONTRAST_008</t>
        </is>
      </c>
      <c r="B18" s="25" t="inlineStr">
        <is>
          <t>Color Contrast (WCAG)</t>
        </is>
      </c>
      <c r="C18" s="25" t="inlineStr">
        <is>
          <t>เมนูและสถานะในตารางฝั่ง Super Admin ผ่าน WCAG AA</t>
        </is>
      </c>
      <c r="D18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e2e-super-admin@example.test</t>
        </is>
      </c>
      <c r="E18" s="25" t="inlineStr">
        <is>
          <t>1. เปิด /super-admin/accounts
2. วัดเมนูและ badge สถานะ</t>
        </is>
      </c>
      <c r="F18" s="25" t="inlineStr">
        <is>
          <t>เกณฑ์ 4.5:1</t>
        </is>
      </c>
      <c r="G18" s="25" t="inlineStr">
        <is>
          <t>ทุกจุดผ่านเกณฑ์</t>
        </is>
      </c>
      <c r="H18" s="25" t="inlineStr">
        <is>
          <t>ผลตรงตามที่คาดหวัง — assertion ผ่านครบ (6.19 วินาที)</t>
        </is>
      </c>
      <c r="I18" s="26" t="inlineStr">
        <is>
          <t>Pass</t>
        </is>
      </c>
      <c r="J18" s="25" t="n"/>
      <c r="K18" s="25" t="n"/>
      <c r="L18" s="25" t="inlineStr">
        <is>
          <t>DEV (127.0.0.1:3317 · next dev) · Chromium (Playwright 1.62) headless · 1280×720 · PostgreSQL 17.10 (nestly_test) · Windows 11</t>
        </is>
      </c>
      <c r="M18" s="25" t="inlineStr">
        <is>
          <t>Playwright 1.62 (อัตโนมัติ)</t>
        </is>
      </c>
      <c r="N18" s="27" t="n">
        <v>46324.79274322917</v>
      </c>
      <c r="O18" s="28" t="inlineStr">
        <is>
          <t>evidence-ui/TC_UI_CONTRAST_008.png</t>
        </is>
      </c>
      <c r="P18" s="25" t="inlineStr">
        <is>
          <t>ผลจากรอบที่ 1 — รันทั้งชุด
สคริปต์: tests/e2e/contrast.spec.ts
ชื่อเทสต์: role-specific computed contrast › Super Admin navigation and table statuses meet WCAG AA</t>
        </is>
      </c>
    </row>
    <row r="19" ht="165" customHeight="1">
      <c r="A19" s="24" t="inlineStr">
        <is>
          <t>TC_UI_BILL_001</t>
        </is>
      </c>
      <c r="B19" s="25" t="inlineStr">
        <is>
          <t>Billing Lifecycle</t>
        </is>
      </c>
      <c r="C19" s="25" t="inlineStr">
        <is>
          <t>รอบบิลครบวงจรผ่านหน้าจอจริง ตั้งแต่สมัครเจ้าของหอจนรับชำระเงิน</t>
        </is>
      </c>
      <c r="D19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</t>
        </is>
      </c>
      <c r="E19" s="25" t="inlineStr">
        <is>
          <t>1. สร้างเจ้าของหอใหม่ (PENDING) → Super Admin อนุมัติ
2. เจ้าของหอตั้งรหัสใหม่ → ยอมรับนโยบาย → สลับหอ
3. สร้างคำเชิญ → ผู้เช่าสมัครที่ /register
4. เจ้าของหออนุมัติคำขอเข้าพัก → สร้างสัญญา (มัดจำ 7,000)
5. จดมิเตอร์น้ำและไฟ → สร้างร่างบิล → ออกบิล
6. ผู้เช่าเปิดบิล เห็น QR PromptPay → ส่งสลิป PNG
7. เจ้าของหอตรวจและยืนยันรับชำระ</t>
        </is>
      </c>
      <c r="F19" s="25" t="inlineStr">
        <is>
          <t>เจ้าของหอ/ผู้เช่าใหม่สุ่มชื่อทุกรอบ · ค่าห้อง 3,500 · มิเตอร์ตั้งต้น/ล่าสุด · สลิป PNG</t>
        </is>
      </c>
      <c r="G19" s="25" t="inlineStr">
        <is>
          <t>สมัครผู้เช่าได้ 201 "สมัครสำเร็จ" · สัญญาเป็นฉบับร่าง · มิเตอร์ "บันทึกแล้ว" · บิลยอด &gt; 3,500 สถานะ "รอชำระ" · สลิป "รอตรวจสอบ" ยอดตรงบิล · ยืนยันแล้วบิลเป็นชำระแล้ว</t>
        </is>
      </c>
      <c r="H19" s="25" t="inlineStr">
        <is>
          <t>ไม่ผ่าน: TimeoutError: locator.click: Timeout 10000ms exceeded. Call log: - waiting for getByRole('menuitem', { name: /JD-1793275969451-d6yxjh/ }) |                                                                          ^ at D:\ปี4_1\it-project\.claude\e2e-run\tests\e2e\full-billing-lifecycle.spec.ts:180:74</t>
        </is>
      </c>
      <c r="I19" s="26" t="inlineStr">
        <is>
          <t>Fail</t>
        </is>
      </c>
      <c r="J19" s="25" t="n"/>
      <c r="K19" s="25" t="n"/>
      <c r="L19" s="25" t="inlineStr">
        <is>
          <t>DEV (127.0.0.1:3317 · next dev) · Chromium (Playwright 1.62) headless · 1280×720 · PostgreSQL 17.10 (nestly_test) · Windows 11</t>
        </is>
      </c>
      <c r="M19" s="25" t="inlineStr">
        <is>
          <t>Playwright 1.62 (อัตโนมัติ)</t>
        </is>
      </c>
      <c r="N19" s="27" t="n">
        <v>46324.80057146991</v>
      </c>
      <c r="O19" s="28" t="inlineStr">
        <is>
          <t>evidence-ui/TC_UI_BILL_001.png</t>
        </is>
      </c>
      <c r="P19" s="25" t="inlineStr">
        <is>
          <t>ข้อสังเกต: ไม่ผ่านซ้ำในสภาพแวดล้อมรอบนี้ (next dev --webpack จากสำเนาโค้ด) อาการคือกดปุ่มแล้วหน้าไม่ตอบสนอง ตรงกับการกดก่อนหน้าโหลด JavaScript เสร็จ (hydration) · GitHub Actions CI run #107 บน commit 24a0107 เดียวกันผ่าน · ต้องรันซ้ำด้วย npm run test:e2e ตามปกติก่อนสรุปว่าเป็นบัค
ผลจากรอบที่ 2 — รันซ้ำเฉพาะเคสที่ไม่ผ่าน
สคริปต์: tests/e2e/full-billing-lifecycle.spec.ts
ชื่อเทสต์: completes the critical tenant billing workflow through the owner and tenant UIs</t>
        </is>
      </c>
    </row>
    <row r="20" ht="165" customHeight="1">
      <c r="A20" s="24" t="inlineStr">
        <is>
          <t>TC_UI_KEY_001</t>
        </is>
      </c>
      <c r="B20" s="25" t="inlineStr">
        <is>
          <t>Keyboard Access</t>
        </is>
      </c>
      <c r="C20" s="25" t="inlineStr">
        <is>
          <t>เข้าสู่ระบบและใช้แดชบอร์ดเจ้าของหอโดยไม่ใช้เมาส์</t>
        </is>
      </c>
      <c r="D20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</t>
        </is>
      </c>
      <c r="E20" s="25" t="inlineStr">
        <is>
          <t>1. ใช้ Tab ไปช่องอีเมล/รหัสผ่าน แล้วพิมพ์
2. กด Enter เข้าสู่ระบบ
3. ใช้ Tab/Enter ในแดชบอร์ด</t>
        </is>
      </c>
      <c r="F20" s="25" t="inlineStr">
        <is>
          <t>Email: e2e-owner@example.test
Password: (ค่าทดสอบจาก tests/e2e/fixtures.ts)</t>
        </is>
      </c>
      <c r="G20" s="25" t="inlineStr">
        <is>
          <t>เข้าสู่ระบบได้ · ทุกปุ่มที่ใช้ถึงได้ด้วยคีย์บอร์ดและเห็น focus</t>
        </is>
      </c>
      <c r="H20" s="25" t="inlineStr">
        <is>
          <t>ผลตรงตามที่คาดหวัง — assertion ผ่านครบ (8.79 วินาที)</t>
        </is>
      </c>
      <c r="I20" s="26" t="inlineStr">
        <is>
          <t>Pass</t>
        </is>
      </c>
      <c r="J20" s="25" t="n"/>
      <c r="K20" s="25" t="n"/>
      <c r="L20" s="25" t="inlineStr">
        <is>
          <t>DEV (127.0.0.1:3317 · next dev) · Chromium (Playwright 1.62) headless · 1280×720 · PostgreSQL 17.10 (nestly_test) · Windows 11</t>
        </is>
      </c>
      <c r="M20" s="25" t="inlineStr">
        <is>
          <t>Playwright 1.62 (อัตโนมัติ)</t>
        </is>
      </c>
      <c r="N20" s="27" t="n">
        <v>46324.80357282407</v>
      </c>
      <c r="O20" s="28" t="inlineStr">
        <is>
          <t>evidence-ui/TC_UI_KEY_001.png</t>
        </is>
      </c>
      <c r="P20" s="25" t="inlineStr">
        <is>
          <t>ผลจากรอบที่ 3 — รัน keyboard-flows ทั้งไฟล์
สคริปต์: tests/e2e/keyboard-flows.spec.ts
ชื่อเทสต์: keyboard coverage for critical flows › Login and Owner Dashboard are operable without a pointer</t>
        </is>
      </c>
    </row>
    <row r="21" ht="165" customHeight="1">
      <c r="A21" s="24" t="inlineStr">
        <is>
          <t>TC_UI_KEY_002</t>
        </is>
      </c>
      <c r="B21" s="25" t="inlineStr">
        <is>
          <t>Keyboard Access</t>
        </is>
      </c>
      <c r="C21" s="25" t="inlineStr">
        <is>
          <t>หน้าห้องพัก ผู้เช่า และสัญญาใช้คีย์บอร์ดได้</t>
        </is>
      </c>
      <c r="D21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21" s="25" t="inlineStr">
        <is>
          <t>1. ห้องพัก: ลูกศร/Home ในแท็บ
2. ผู้เช่า: เปิดรายการด้วย Enter, ลูกศร Home End PageDown, Escape ปิด
3. สัญญา: เปิดเมนูจัดการ แล้ว Escape</t>
        </is>
      </c>
      <c r="F21" s="25" t="inlineStr">
        <is>
          <t>ArrowRight · ArrowDown · Home · End · PageDown · Escape</t>
        </is>
      </c>
      <c r="G21" s="25" t="inlineStr">
        <is>
          <t>focus ย้ายตามปุ่ม · Esc ปิดเมนู/dialog และคืน focus</t>
        </is>
      </c>
      <c r="H21" s="25" t="inlineStr">
        <is>
          <t>ผลตรงตามที่คาดหวัง — assertion ผ่านครบ (5.29 วินาที)</t>
        </is>
      </c>
      <c r="I21" s="26" t="inlineStr">
        <is>
          <t>Pass</t>
        </is>
      </c>
      <c r="J21" s="25" t="n"/>
      <c r="K21" s="25" t="n"/>
      <c r="L21" s="25" t="inlineStr">
        <is>
          <t>DEV (127.0.0.1:3317 · next dev) · Chromium (Playwright 1.62) headless · 1280×720 · PostgreSQL 17.10 (nestly_test) · Windows 11</t>
        </is>
      </c>
      <c r="M21" s="25" t="inlineStr">
        <is>
          <t>Playwright 1.62 (อัตโนมัติ)</t>
        </is>
      </c>
      <c r="N21" s="27" t="n">
        <v>46324.80367861111</v>
      </c>
      <c r="O21" s="28" t="inlineStr">
        <is>
          <t>evidence-ui/TC_UI_KEY_002.png</t>
        </is>
      </c>
      <c r="P21" s="25" t="inlineStr">
        <is>
          <t>ผลจากรอบที่ 3 — รัน keyboard-flows ทั้งไฟล์
สคริปต์: tests/e2e/keyboard-flows.spec.ts
ชื่อเทสต์: keyboard coverage for critical flows › Owner rooms, tenants and contracts support keyboard navigation</t>
        </is>
      </c>
    </row>
    <row r="22" ht="165" customHeight="1">
      <c r="A22" s="24" t="inlineStr">
        <is>
          <t>TC_UI_KEY_003</t>
        </is>
      </c>
      <c r="B22" s="25" t="inlineStr">
        <is>
          <t>Keyboard Access</t>
        </is>
      </c>
      <c r="C22" s="25" t="inlineStr">
        <is>
          <t>หน้าบิล มิเตอร์ และพัสดุทำงานด้วยคีย์บอร์ดได้</t>
        </is>
      </c>
      <c r="D22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22" s="25" t="inlineStr">
        <is>
          <t>1. บิล: Space เปิด dropdown, ลูกศรเลือก, Enter ยืนยัน
2. มิเตอร์น้ำ: Enter บันทึก
3. พัสดุ: เปิดฟอร์มแล้ว Escape</t>
        </is>
      </c>
      <c r="F22" s="25" t="inlineStr">
        <is>
          <t>Space · ArrowDown · Enter · Escape</t>
        </is>
      </c>
      <c r="G22" s="25" t="inlineStr">
        <is>
          <t>เลือกค่าและสั่งงานได้ครบโดยไม่ใช้เมาส์</t>
        </is>
      </c>
      <c r="H22" s="25" t="inlineStr">
        <is>
          <t>ผลตรงตามที่คาดหวัง — assertion ผ่านครบ (3.60 วินาที)</t>
        </is>
      </c>
      <c r="I22" s="26" t="inlineStr">
        <is>
          <t>Pass</t>
        </is>
      </c>
      <c r="J22" s="25" t="n"/>
      <c r="K22" s="25" t="n"/>
      <c r="L22" s="25" t="inlineStr">
        <is>
          <t>DEV (127.0.0.1:3317 · next dev) · Chromium (Playwright 1.62) headless · 1280×720 · PostgreSQL 17.10 (nestly_test) · Windows 11</t>
        </is>
      </c>
      <c r="M22" s="25" t="inlineStr">
        <is>
          <t>Playwright 1.62 (อัตโนมัติ)</t>
        </is>
      </c>
      <c r="N22" s="27" t="n">
        <v>46324.80373998843</v>
      </c>
      <c r="O22" s="28" t="inlineStr">
        <is>
          <t>evidence-ui/TC_UI_KEY_003.png</t>
        </is>
      </c>
      <c r="P22" s="25" t="inlineStr">
        <is>
          <t>ผลจากรอบที่ 3 — รัน keyboard-flows ทั้งไฟล์
สคริปต์: tests/e2e/keyboard-flows.spec.ts
ชื่อเทสต์: keyboard coverage for critical flows › Owner invoices, meters and parcels support keyboard workflows</t>
        </is>
      </c>
    </row>
    <row r="23" ht="165" customHeight="1">
      <c r="A23" s="24" t="inlineStr">
        <is>
          <t>TC_UI_KEY_004</t>
        </is>
      </c>
      <c r="B23" s="25" t="inlineStr">
        <is>
          <t>Keyboard Access</t>
        </is>
      </c>
      <c r="C23" s="25" t="inlineStr">
        <is>
          <t>หน้าตั้งค่า dropdown เมนูจัดการ และศูนย์แจ้งเตือนเป็นไปตามข้อกำหนดคีย์บอร์ด</t>
        </is>
      </c>
      <c r="D23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23" s="25" t="inlineStr">
        <is>
          <t>1. ใช้ลูกศรในแท็บตั้งค่า
2. เปิด/ปิด dropdown และเมนูจัดการด้วยคีย์บอร์ด
3. เปิดศูนย์แจ้งเตือนแล้ว Escape</t>
        </is>
      </c>
      <c r="F23" s="25" t="inlineStr">
        <is>
          <t>Arrow · Enter · Escape</t>
        </is>
      </c>
      <c r="G23" s="25" t="inlineStr">
        <is>
          <t>role และ aria ถูกต้อง · focus กลับปุ่มเดิมหลังปิด</t>
        </is>
      </c>
      <c r="H23" s="25" t="inlineStr">
        <is>
          <t>ผลตรงตามที่คาดหวัง — assertion ผ่านครบ (6.55 วินาที)</t>
        </is>
      </c>
      <c r="I23" s="26" t="inlineStr">
        <is>
          <t>Pass</t>
        </is>
      </c>
      <c r="J23" s="25" t="n"/>
      <c r="K23" s="25" t="n"/>
      <c r="L23" s="25" t="inlineStr">
        <is>
          <t>DEV (127.0.0.1:3317 · next dev) · Chromium (Playwright 1.62) headless · 1280×720 · PostgreSQL 17.10 (nestly_test) · Windows 11</t>
        </is>
      </c>
      <c r="M23" s="25" t="inlineStr">
        <is>
          <t>Playwright 1.62 (อัตโนมัติ)</t>
        </is>
      </c>
      <c r="N23" s="27" t="n">
        <v>46324.80378178241</v>
      </c>
      <c r="O23" s="28" t="inlineStr">
        <is>
          <t>evidence-ui/TC_UI_KEY_004.png</t>
        </is>
      </c>
      <c r="P23" s="25" t="inlineStr">
        <is>
          <t>ผลจากรอบที่ 3 — รัน keyboard-flows ทั้งไฟล์
สคริปต์: tests/e2e/keyboard-flows.spec.ts
ชื่อเทสต์: keyboard coverage for critical flows › Settings, Dropdown, Action Menu and Notification Center honor keyboard contracts</t>
        </is>
      </c>
    </row>
    <row r="24" ht="165" customHeight="1">
      <c r="A24" s="24" t="inlineStr">
        <is>
          <t>TC_UI_KEY_005</t>
        </is>
      </c>
      <c r="B24" s="25" t="inlineStr">
        <is>
          <t>Keyboard Access</t>
        </is>
      </c>
      <c r="C24" s="25" t="inlineStr">
        <is>
          <t>เมนูและ modal ฝั่งผู้เช่าใช้คีย์บอร์ดได้</t>
        </is>
      </c>
      <c r="D24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e2e-tenant@example.test</t>
        </is>
      </c>
      <c r="E24" s="25" t="inlineStr">
        <is>
          <t>1. ใช้ Tab ไปตามเมนูผู้เช่า
2. เปิด modal ด้วย Enter แล้วปิดด้วย Escape</t>
        </is>
      </c>
      <c r="F24" s="25" t="inlineStr">
        <is>
          <t>Tab · Enter · Escape</t>
        </is>
      </c>
      <c r="G24" s="25" t="inlineStr">
        <is>
          <t>เปิดทุกเมนูได้ · modal กัก focus และคืน focus หลังปิด</t>
        </is>
      </c>
      <c r="H24" s="25" t="inlineStr">
        <is>
          <t>ไม่ผ่าน: Error: expect(locator).toBeVisible() failed Locator: getByLabel('รายละเอียดบิล E2E-202607-E101', { exact: true }) Expected: visible Timeout: 5000ms Error: element(s) not found Call log: - Expect "toBeVisible" with timeout 5000ms - waiting for getByLabel('รายละเอียดบิล E2E-202607-E101', { exact: true }) |                                  ^ at D:\ปี4_1\it-project\.claude\e2e-run\tests\e2e\keyboard-f</t>
        </is>
      </c>
      <c r="I24" s="26" t="inlineStr">
        <is>
          <t>Fail</t>
        </is>
      </c>
      <c r="J24" s="25" t="n"/>
      <c r="K24" s="25" t="n"/>
      <c r="L24" s="25" t="inlineStr">
        <is>
          <t>DEV (127.0.0.1:3317 · next dev) · Chromium (Playwright 1.62) headless · 1280×720 · PostgreSQL 17.10 (nestly_test) · Windows 11</t>
        </is>
      </c>
      <c r="M24" s="25" t="inlineStr">
        <is>
          <t>Playwright 1.62 (อัตโนมัติ)</t>
        </is>
      </c>
      <c r="N24" s="27" t="n">
        <v>46324.80385769676</v>
      </c>
      <c r="O24" s="28" t="inlineStr">
        <is>
          <t>evidence-ui/TC_UI_KEY_005.png</t>
        </is>
      </c>
      <c r="P24" s="25" t="inlineStr">
        <is>
          <t>ข้อสังเกต: ไม่ผ่านซ้ำในสภาพแวดล้อมรอบนี้ (next dev --webpack จากสำเนาโค้ด) อาการคือกดปุ่มแล้วหน้าไม่ตอบสนอง ตรงกับการกดก่อนหน้าโหลด JavaScript เสร็จ (hydration) · GitHub Actions CI run #107 บน commit 24a0107 เดียวกันผ่าน · ต้องรันซ้ำด้วย npm run test:e2e ตามปกติก่อนสรุปว่าเป็นบัค
ผลจากรอบที่ 3 — รัน keyboard-flows ทั้งไฟล์
สคริปต์: tests/e2e/keyboard-flows.spec.ts
ชื่อเทสต์: keyboard coverage for critical flows › Tenant Portal navigation and modal are keyboard operable</t>
        </is>
      </c>
    </row>
    <row r="25" ht="165" customHeight="1">
      <c r="A25" s="24" t="inlineStr">
        <is>
          <t>TC_UI_KEY_006</t>
        </is>
      </c>
      <c r="B25" s="25" t="inlineStr">
        <is>
          <t>Keyboard Access</t>
        </is>
      </c>
      <c r="C25" s="25" t="inlineStr">
        <is>
          <t>เมนู Super Admin ใช้คีย์บอร์ดได้</t>
        </is>
      </c>
      <c r="D25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e2e-super-admin@example.test</t>
        </is>
      </c>
      <c r="E25" s="25" t="inlineStr">
        <is>
          <t>1. ใช้ Tab/Enter ไปตามเมนู Super Admin</t>
        </is>
      </c>
      <c r="F25" s="25" t="inlineStr">
        <is>
          <t>Tab · Enter</t>
        </is>
      </c>
      <c r="G25" s="25" t="inlineStr">
        <is>
          <t>เปิดทุกเมนูได้และเห็น focus</t>
        </is>
      </c>
      <c r="H25" s="25" t="inlineStr">
        <is>
          <t>ผลตรงตามที่คาดหวัง — assertion ผ่านครบ (7.19 วินาที)</t>
        </is>
      </c>
      <c r="I25" s="26" t="inlineStr">
        <is>
          <t>Pass</t>
        </is>
      </c>
      <c r="J25" s="25" t="n"/>
      <c r="K25" s="25" t="n"/>
      <c r="L25" s="25" t="inlineStr">
        <is>
          <t>DEV (127.0.0.1:3317 · next dev) · Chromium (Playwright 1.62) headless · 1280×720 · PostgreSQL 17.10 (nestly_test) · Windows 11</t>
        </is>
      </c>
      <c r="M25" s="25" t="inlineStr">
        <is>
          <t>Playwright 1.62 (อัตโนมัติ)</t>
        </is>
      </c>
      <c r="N25" s="27" t="n">
        <v>46324.80435768519</v>
      </c>
      <c r="O25" s="28" t="inlineStr">
        <is>
          <t>evidence-ui/TC_UI_KEY_006.png</t>
        </is>
      </c>
      <c r="P25" s="25" t="inlineStr">
        <is>
          <t>ผลจากรอบที่ 4 — รันเคสที่ยังไม่ได้รัน
สคริปต์: tests/e2e/keyboard-flows.spec.ts
ชื่อเทสต์: keyboard coverage for critical flows › Super Admin navigation is covered with a seeded test account</t>
        </is>
      </c>
    </row>
    <row r="26" ht="165" customHeight="1">
      <c r="A26" s="24" t="inlineStr">
        <is>
          <t>TC_UI_LEASE_001</t>
        </is>
      </c>
      <c r="B26" s="25" t="inlineStr">
        <is>
          <t>Lease Renewal</t>
        </is>
      </c>
      <c r="C26" s="25" t="inlineStr">
        <is>
          <t>เจ้าของหอต่อสัญญาโดยไม่เขียนทับสัญญาที่ใช้งานอยู่</t>
        </is>
      </c>
      <c r="D26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26" s="25" t="inlineStr">
        <is>
          <t>1. เปิดหน้าสัญญาเช่า
2. กดต่อสัญญา CTR-E2E-E101
3. ตรวจค่าที่เติมให้ในกล่องต่อสัญญา
4. กดสร้างสัญญาต่ออายุ</t>
        </is>
      </c>
      <c r="F26" s="25" t="inlineStr">
        <is>
          <t>สัญญา CTR-E2E-E101 · วันใหม่ 1 ม.ค. 2570 – 31 ธ.ค. 2570</t>
        </is>
      </c>
      <c r="G26" s="25" t="inlineStr">
        <is>
          <t>ช่องห้องถูกล็อก · วันที่เติมให้ถูกต้อง · มีสัญญา 2 แถว แถวใหม่เป็น "ฉบับร่าง" แถวเดิมไม่เปลี่ยน</t>
        </is>
      </c>
      <c r="H26" s="25" t="inlineStr">
        <is>
          <t>ผลตรงตามที่คาดหวัง — assertion ผ่านครบ (4.95 วินาที)</t>
        </is>
      </c>
      <c r="I26" s="26" t="inlineStr">
        <is>
          <t>Pass</t>
        </is>
      </c>
      <c r="J26" s="25" t="n"/>
      <c r="K26" s="25" t="n"/>
      <c r="L26" s="25" t="inlineStr">
        <is>
          <t>DEV (127.0.0.1:3317 · next dev) · Chromium (Playwright 1.62) headless · 1280×720 · PostgreSQL 17.10 (nestly_test) · Windows 11</t>
        </is>
      </c>
      <c r="M26" s="25" t="inlineStr">
        <is>
          <t>Playwright 1.62 (อัตโนมัติ)</t>
        </is>
      </c>
      <c r="N26" s="27" t="n">
        <v>46324.80088405093</v>
      </c>
      <c r="O26" s="28" t="inlineStr">
        <is>
          <t>evidence-ui/TC_UI_LEASE_001.png</t>
        </is>
      </c>
      <c r="P26" s="25" t="inlineStr">
        <is>
          <t>ผลจากรอบที่ 2 — รันซ้ำเฉพาะเคสที่ไม่ผ่าน
สคริปต์: tests/e2e/lease-renewal.spec.ts
ชื่อเทสต์: owner renews a lease without overwriting the active lease</t>
        </is>
      </c>
    </row>
    <row r="27" ht="180" customHeight="1">
      <c r="A27" s="24" t="inlineStr">
        <is>
          <t>TC_UI_MOB_001</t>
        </is>
      </c>
      <c r="B27" s="25" t="inlineStr">
        <is>
          <t>Mobile Touch Target</t>
        </is>
      </c>
      <c r="C27" s="25" t="inlineStr">
        <is>
          <t>ปุ่มของทุกบทบาทกดได้สะดวกบนจอ 320x568</t>
        </is>
      </c>
      <c r="D27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เข้าสู่ระบบทั้ง 3 บทบาท</t>
        </is>
      </c>
      <c r="E27" s="25" t="inlineStr">
        <is>
          <t>1. ตั้งขนาดจอ
2. เปิดทุกหน้าหลักของเจ้าของหอ ผู้เช่า และ Super Admin
3. วัดขนาดปุ่มสำคัญที่มองเห็น</t>
        </is>
      </c>
      <c r="F27" s="25" t="inlineStr">
        <is>
          <t>viewport = 320x568</t>
        </is>
      </c>
      <c r="G27" s="25" t="inlineStr">
        <is>
          <t>ปุ่มสำคัญทุกปุ่มกว้างและสูง ≥ 44 CSS px</t>
        </is>
      </c>
      <c r="H27" s="25" t="inlineStr">
        <is>
          <t>ผลตรงตามที่คาดหวัง — assertion ผ่านครบ (47.91 วินาที)</t>
        </is>
      </c>
      <c r="I27" s="26" t="inlineStr">
        <is>
          <t>Pass</t>
        </is>
      </c>
      <c r="J27" s="25" t="n"/>
      <c r="K27" s="25" t="n"/>
      <c r="L27" s="25" t="inlineStr">
        <is>
          <t>DEV (127.0.0.1:3317 · next dev) · Chromium (Playwright 1.62) headless · 1280×720 · PostgreSQL 17.10 (nestly_test) · Windows 11</t>
        </is>
      </c>
      <c r="M27" s="25" t="inlineStr">
        <is>
          <t>Playwright 1.62 (อัตโนมัติ)</t>
        </is>
      </c>
      <c r="N27" s="27" t="n">
        <v>46324.80094164352</v>
      </c>
      <c r="O27" s="28" t="inlineStr">
        <is>
          <t>evidence-ui/TC_UI_MOB_001.png</t>
        </is>
      </c>
      <c r="P27" s="25" t="inlineStr">
        <is>
          <t>ผลจากรอบที่ 2 — รันซ้ำเฉพาะเคสที่ไม่ผ่าน
สคริปต์: tests/e2e/mobile-touch-target.spec.ts
ชื่อเทสต์: mobile touch target contract › 320x568 owner, tenant and super admin actions remain touch-safe</t>
        </is>
      </c>
    </row>
    <row r="28" ht="180" customHeight="1">
      <c r="A28" s="24" t="inlineStr">
        <is>
          <t>TC_UI_MOB_002</t>
        </is>
      </c>
      <c r="B28" s="25" t="inlineStr">
        <is>
          <t>Mobile Touch Target</t>
        </is>
      </c>
      <c r="C28" s="25" t="inlineStr">
        <is>
          <t>ปุ่มของทุกบทบาทกดได้สะดวกบนจอ 375x667</t>
        </is>
      </c>
      <c r="D28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เข้าสู่ระบบทั้ง 3 บทบาท</t>
        </is>
      </c>
      <c r="E28" s="25" t="inlineStr">
        <is>
          <t>1. ตั้งขนาดจอ
2. เปิดทุกหน้าหลักของเจ้าของหอ ผู้เช่า และ Super Admin
3. วัดขนาดปุ่มสำคัญที่มองเห็น</t>
        </is>
      </c>
      <c r="F28" s="25" t="inlineStr">
        <is>
          <t>viewport = 375x667</t>
        </is>
      </c>
      <c r="G28" s="25" t="inlineStr">
        <is>
          <t>ปุ่มสำคัญทุกปุ่มกว้างและสูง ≥ 44 CSS px</t>
        </is>
      </c>
      <c r="H28" s="25" t="inlineStr">
        <is>
          <t>ผลตรงตามที่คาดหวัง — assertion ผ่านครบ (28.52 วินาที)</t>
        </is>
      </c>
      <c r="I28" s="26" t="inlineStr">
        <is>
          <t>Pass</t>
        </is>
      </c>
      <c r="J28" s="25" t="n"/>
      <c r="K28" s="25" t="n"/>
      <c r="L28" s="25" t="inlineStr">
        <is>
          <t>DEV (127.0.0.1:3317 · next dev) · Chromium (Playwright 1.62) headless · 1280×720 · PostgreSQL 17.10 (nestly_test) · Windows 11</t>
        </is>
      </c>
      <c r="M28" s="25" t="inlineStr">
        <is>
          <t>Playwright 1.62 (อัตโนมัติ)</t>
        </is>
      </c>
      <c r="N28" s="27" t="n">
        <v>46324.80149631944</v>
      </c>
      <c r="O28" s="28" t="inlineStr">
        <is>
          <t>evidence-ui/TC_UI_MOB_002.png</t>
        </is>
      </c>
      <c r="P28" s="25" t="inlineStr">
        <is>
          <t>ผลจากรอบที่ 2 — รันซ้ำเฉพาะเคสที่ไม่ผ่าน
สคริปต์: tests/e2e/mobile-touch-target.spec.ts
ชื่อเทสต์: mobile touch target contract › 375x667 owner, tenant and super admin actions remain touch-safe</t>
        </is>
      </c>
    </row>
    <row r="29" ht="180" customHeight="1">
      <c r="A29" s="24" t="inlineStr">
        <is>
          <t>TC_UI_MOB_003</t>
        </is>
      </c>
      <c r="B29" s="25" t="inlineStr">
        <is>
          <t>Mobile Touch Target</t>
        </is>
      </c>
      <c r="C29" s="25" t="inlineStr">
        <is>
          <t>ปุ่มของทุกบทบาทกดได้สะดวกบนจอ 390x844</t>
        </is>
      </c>
      <c r="D29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เข้าสู่ระบบทั้ง 3 บทบาท</t>
        </is>
      </c>
      <c r="E29" s="25" t="inlineStr">
        <is>
          <t>1. ตั้งขนาดจอ
2. เปิดทุกหน้าหลักของเจ้าของหอ ผู้เช่า และ Super Admin
3. วัดขนาดปุ่มสำคัญที่มองเห็น</t>
        </is>
      </c>
      <c r="F29" s="25" t="inlineStr">
        <is>
          <t>viewport = 390x844</t>
        </is>
      </c>
      <c r="G29" s="25" t="inlineStr">
        <is>
          <t>ปุ่มสำคัญทุกปุ่มกว้างและสูง ≥ 44 CSS px</t>
        </is>
      </c>
      <c r="H29" s="25" t="inlineStr">
        <is>
          <t>ผลตรงตามที่คาดหวัง — assertion ผ่านครบ (24.42 วินาที)</t>
        </is>
      </c>
      <c r="I29" s="26" t="inlineStr">
        <is>
          <t>Pass</t>
        </is>
      </c>
      <c r="J29" s="25" t="n"/>
      <c r="K29" s="25" t="n"/>
      <c r="L29" s="25" t="inlineStr">
        <is>
          <t>DEV (127.0.0.1:3317 · next dev) · Chromium (Playwright 1.62) headless · 1280×720 · PostgreSQL 17.10 (nestly_test) · Windows 11</t>
        </is>
      </c>
      <c r="M29" s="25" t="inlineStr">
        <is>
          <t>Playwright 1.62 (อัตโนมัติ)</t>
        </is>
      </c>
      <c r="N29" s="27" t="n">
        <v>46324.80182658565</v>
      </c>
      <c r="O29" s="28" t="inlineStr">
        <is>
          <t>evidence-ui/TC_UI_MOB_003.png</t>
        </is>
      </c>
      <c r="P29" s="25" t="inlineStr">
        <is>
          <t>ผลจากรอบที่ 2 — รันซ้ำเฉพาะเคสที่ไม่ผ่าน
สคริปต์: tests/e2e/mobile-touch-target.spec.ts
ชื่อเทสต์: mobile touch target contract › 390x844 owner, tenant and super admin actions remain touch-safe</t>
        </is>
      </c>
    </row>
    <row r="30" ht="180" customHeight="1">
      <c r="A30" s="24" t="inlineStr">
        <is>
          <t>TC_UI_MOB_004</t>
        </is>
      </c>
      <c r="B30" s="25" t="inlineStr">
        <is>
          <t>Mobile Touch Target</t>
        </is>
      </c>
      <c r="C30" s="25" t="inlineStr">
        <is>
          <t>ปุ่มของทุกบทบาทกดได้สะดวกบนจอ 768x1024</t>
        </is>
      </c>
      <c r="D30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เข้าสู่ระบบทั้ง 3 บทบาท</t>
        </is>
      </c>
      <c r="E30" s="25" t="inlineStr">
        <is>
          <t>1. ตั้งขนาดจอ
2. เปิดทุกหน้าหลักของเจ้าของหอ ผู้เช่า และ Super Admin
3. วัดขนาดปุ่มสำคัญที่มองเห็น</t>
        </is>
      </c>
      <c r="F30" s="25" t="inlineStr">
        <is>
          <t>viewport = 768x1024</t>
        </is>
      </c>
      <c r="G30" s="25" t="inlineStr">
        <is>
          <t>ปุ่มสำคัญทุกปุ่มกว้างและสูง ≥ 44 CSS px</t>
        </is>
      </c>
      <c r="H30" s="25" t="inlineStr">
        <is>
          <t>ผลตรงตามที่คาดหวัง — assertion ผ่านครบ (25.22 วินาที)</t>
        </is>
      </c>
      <c r="I30" s="26" t="inlineStr">
        <is>
          <t>Pass</t>
        </is>
      </c>
      <c r="J30" s="25" t="n"/>
      <c r="K30" s="25" t="n"/>
      <c r="L30" s="25" t="inlineStr">
        <is>
          <t>DEV (127.0.0.1:3317 · next dev) · Chromium (Playwright 1.62) headless · 1280×720 · PostgreSQL 17.10 (nestly_test) · Windows 11</t>
        </is>
      </c>
      <c r="M30" s="25" t="inlineStr">
        <is>
          <t>Playwright 1.62 (อัตโนมัติ)</t>
        </is>
      </c>
      <c r="N30" s="27" t="n">
        <v>46324.8021093287</v>
      </c>
      <c r="O30" s="28" t="inlineStr">
        <is>
          <t>evidence-ui/TC_UI_MOB_004.png</t>
        </is>
      </c>
      <c r="P30" s="25" t="inlineStr">
        <is>
          <t>ผลจากรอบที่ 2 — รันซ้ำเฉพาะเคสที่ไม่ผ่าน
สคริปต์: tests/e2e/mobile-touch-target.spec.ts
ชื่อเทสต์: mobile touch target contract › 768x1024 owner, tenant and super admin actions remain touch-safe</t>
        </is>
      </c>
    </row>
    <row r="31" ht="165" customHeight="1">
      <c r="A31" s="24" t="inlineStr">
        <is>
          <t>TC_UI_PERF_001</t>
        </is>
      </c>
      <c r="B31" s="25" t="inlineStr">
        <is>
          <t>Performance (Requests)</t>
        </is>
      </c>
      <c r="C31" s="25" t="inlineStr">
        <is>
          <t>เปลี่ยนเมนูในหน้าเจ้าของหอไม่ดึงข้อมูลชุดเดิมซ้ำ</t>
        </is>
      </c>
      <c r="D31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31" s="25" t="inlineStr">
        <is>
          <t>1. ดักคำขอ read model ของแดชบอร์ด
2. กดเมนูผู้เช่า
3. อนุมัติคำขอเข้าพัก</t>
        </is>
      </c>
      <c r="F31" s="25" t="inlineStr">
        <is>
          <t>ผู้เช่า E2E Pending Tenant</t>
        </is>
      </c>
      <c r="G31" s="25" t="inlineStr">
        <is>
          <t>เปลี่ยนเมนูแล้วไม่มีคำขอซ้ำ (0) · หลังอนุมัติจึงดึงข้อมูลใหม่ (&gt; 0)</t>
        </is>
      </c>
      <c r="H31" s="25" t="inlineStr">
        <is>
          <t>ผลตรงตามที่คาดหวัง — assertion ผ่านครบ (21.39 วินาที)</t>
        </is>
      </c>
      <c r="I31" s="26" t="inlineStr">
        <is>
          <t>Pass</t>
        </is>
      </c>
      <c r="J31" s="25" t="n"/>
      <c r="K31" s="25" t="n"/>
      <c r="L31" s="25" t="inlineStr">
        <is>
          <t>DEV (127.0.0.1:3317 · next dev) · Chromium (Playwright 1.62) headless · 1280×720 · PostgreSQL 17.10 (nestly_test) · Windows 11</t>
        </is>
      </c>
      <c r="M31" s="25" t="inlineStr">
        <is>
          <t>Playwright 1.62 (อัตโนมัติ)</t>
        </is>
      </c>
      <c r="N31" s="27" t="n">
        <v>46324.79634859954</v>
      </c>
      <c r="O31" s="28" t="inlineStr">
        <is>
          <t>evidence-ui/TC_UI_PERF_001.png</t>
        </is>
      </c>
      <c r="P31" s="25" t="inlineStr">
        <is>
          <t>ผลจากรอบที่ 1 — รันทั้งชุด
สคริปต์: tests/e2e/owner-dashboard-fetch.spec.ts
ชื่อเทสต์: owner shell does not refetch the read model it already has</t>
        </is>
      </c>
    </row>
    <row r="32" ht="165" customHeight="1">
      <c r="A32" s="24" t="inlineStr">
        <is>
          <t>TC_UI_PERF_002</t>
        </is>
      </c>
      <c r="B32" s="25" t="inlineStr">
        <is>
          <t>Performance (Requests)</t>
        </is>
      </c>
      <c r="C32" s="25" t="inlineStr">
        <is>
          <t>สลับหอแล้วเห็นข้อมูลหอใหม่ทันทีโดยไม่ดึงซ้ำ และข้อมูลไม่ปนกัน</t>
        </is>
      </c>
      <c r="D32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32" s="25" t="inlineStr">
        <is>
          <t>1. เปิดห้องพักหอแรก (E101)
2. สลับไปหอ E2E ฮาเฮ
3. เปิดห้องพักหอที่สอง</t>
        </is>
      </c>
      <c r="F32" s="25" t="inlineStr">
        <is>
          <t>หอแรก: ห้อง E101 · หอที่สอง: ห้อง F201</t>
        </is>
      </c>
      <c r="G32" s="25" t="inlineStr">
        <is>
          <t>URL เปลี่ยนเป็นหอที่สอง · เห็น F201 และไม่เห็น E101 · ไม่มีคำขอ read model ซ้ำ</t>
        </is>
      </c>
      <c r="H32" s="25" t="inlineStr">
        <is>
          <t>ผลตรงตามที่คาดหวัง — assertion ผ่านครบ (24.76 วินาที)</t>
        </is>
      </c>
      <c r="I32" s="26" t="inlineStr">
        <is>
          <t>Pass</t>
        </is>
      </c>
      <c r="J32" s="25" t="n"/>
      <c r="K32" s="25" t="n"/>
      <c r="L32" s="25" t="inlineStr">
        <is>
          <t>DEV (127.0.0.1:3317 · next dev) · Chromium (Playwright 1.62) headless · 1280×720 · PostgreSQL 17.10 (nestly_test) · Windows 11</t>
        </is>
      </c>
      <c r="M32" s="25" t="inlineStr">
        <is>
          <t>Playwright 1.62 (อัตโนมัติ)</t>
        </is>
      </c>
      <c r="N32" s="27" t="n">
        <v>46324.79659920139</v>
      </c>
      <c r="O32" s="28" t="inlineStr">
        <is>
          <t>evidence-ui/TC_UI_PERF_002.png</t>
        </is>
      </c>
      <c r="P32" s="25" t="inlineStr">
        <is>
          <t>ผลจากรอบที่ 1 — รันทั้งชุด
สคริปต์: tests/e2e/owner-dashboard-fetch.spec.ts
ชื่อเทสต์: switching property shows the other property without refetching</t>
        </is>
      </c>
    </row>
    <row r="33" ht="165" customHeight="1">
      <c r="A33" s="24" t="inlineStr">
        <is>
          <t>TC_UI_PERF_003</t>
        </is>
      </c>
      <c r="B33" s="25" t="inlineStr">
        <is>
          <t>Performance (Requests)</t>
        </is>
      </c>
      <c r="C33" s="25" t="inlineStr">
        <is>
          <t>ผู้เช่ากางรายละเอียดเรื่องแจ้งแล้วไม่ยิงคำขอวนซ้ำ</t>
        </is>
      </c>
      <c r="D33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e2e-tenant@example.test</t>
        </is>
      </c>
      <c r="E33" s="25" t="inlineStr">
        <is>
          <t>1. เปิด /tenant/tickets → แท็บประวัติ
2. กดขยายรายละเอียด
3. นับคำขอใน 5 วินาที</t>
        </is>
      </c>
      <c r="F33" s="25" t="inlineStr">
        <is>
          <t>งบคำขอ = 10</t>
        </is>
      </c>
      <c r="G33" s="25" t="inlineStr">
        <is>
          <t>จำนวนคำขอ ≤ 10</t>
        </is>
      </c>
      <c r="H33" s="25" t="inlineStr">
        <is>
          <t>ผลตรงตามที่คาดหวัง — assertion ผ่านครบ (9.91 วินาที)</t>
        </is>
      </c>
      <c r="I33" s="26" t="inlineStr">
        <is>
          <t>Pass</t>
        </is>
      </c>
      <c r="J33" s="25" t="n"/>
      <c r="K33" s="25" t="n"/>
      <c r="L33" s="25" t="inlineStr">
        <is>
          <t>DEV (127.0.0.1:3317 · next dev) · Chromium (Playwright 1.62) headless · 1280×720 · PostgreSQL 17.10 (nestly_test) · Windows 11</t>
        </is>
      </c>
      <c r="M33" s="25" t="inlineStr">
        <is>
          <t>Playwright 1.62 (อัตโนมัติ)</t>
        </is>
      </c>
      <c r="N33" s="27" t="n">
        <v>46324.80240143518</v>
      </c>
      <c r="O33" s="28" t="inlineStr">
        <is>
          <t>evidence-ui/TC_UI_PERF_003.png</t>
        </is>
      </c>
      <c r="P33" s="25" t="inlineStr">
        <is>
          <t>ผลจากรอบที่ 2 — รันซ้ำเฉพาะเคสที่ไม่ผ่าน
สคริปต์: tests/e2e/request-budget.spec.ts
ชื่อเทสต์: งบคำขอของแต่ละหน้า › กางเรื่องแจ้งของผู้เช่าแล้วไม่วนโหลดซ้ำ</t>
        </is>
      </c>
    </row>
    <row r="34" ht="165" customHeight="1">
      <c r="A34" s="24" t="inlineStr">
        <is>
          <t>TC_UI_PERF_004</t>
        </is>
      </c>
      <c r="B34" s="25" t="inlineStr">
        <is>
          <t>Performance (Requests)</t>
        </is>
      </c>
      <c r="C34" s="25" t="inlineStr">
        <is>
          <t>เจ้าของหอเปิดข้อความเรื่องร้องเรียนแล้วไม่ยิงคำขอวนซ้ำ</t>
        </is>
      </c>
      <c r="D34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34" s="25" t="inlineStr">
        <is>
          <t>1. เปิดหน้าเรื่องร้องเรียน
2. จัดการเรื่อง → เปิดข้อความ
3. นับคำขอใน 5 วินาที</t>
        </is>
      </c>
      <c r="F34" s="25" t="inlineStr">
        <is>
          <t>งบคำขอ = 10</t>
        </is>
      </c>
      <c r="G34" s="25" t="inlineStr">
        <is>
          <t>จำนวนคำขอ ≤ 10</t>
        </is>
      </c>
      <c r="H34" s="25" t="inlineStr">
        <is>
          <t>ผลตรงตามที่คาดหวัง — assertion ผ่านครบ (21.95 วินาที)</t>
        </is>
      </c>
      <c r="I34" s="26" t="inlineStr">
        <is>
          <t>Pass</t>
        </is>
      </c>
      <c r="J34" s="25" t="n"/>
      <c r="K34" s="25" t="n"/>
      <c r="L34" s="25" t="inlineStr">
        <is>
          <t>DEV (127.0.0.1:3317 · next dev) · Chromium (Playwright 1.62) headless · 1280×720 · PostgreSQL 17.10 (nestly_test) · Windows 11</t>
        </is>
      </c>
      <c r="M34" s="25" t="inlineStr">
        <is>
          <t>Playwright 1.62 (อัตโนมัติ)</t>
        </is>
      </c>
      <c r="N34" s="27" t="n">
        <v>46324.79725059028</v>
      </c>
      <c r="O34" s="28" t="inlineStr">
        <is>
          <t>evidence-ui/TC_UI_PERF_004.png</t>
        </is>
      </c>
      <c r="P34" s="25" t="inlineStr">
        <is>
          <t>ผลจากรอบที่ 1 — รันทั้งชุด
สคริปต์: tests/e2e/request-budget.spec.ts
ชื่อเทสต์: งบคำขอของแต่ละหน้า › เปิดข้อความของเรื่องร้องเรียนฝั่งเจ้าของหอแล้วไม่วนโหลดซ้ำ</t>
        </is>
      </c>
    </row>
    <row r="35" ht="165" customHeight="1">
      <c r="A35" s="24" t="inlineStr">
        <is>
          <t>TC_UI_PERF_005</t>
        </is>
      </c>
      <c r="B35" s="25" t="inlineStr">
        <is>
          <t>Performance (Requests)</t>
        </is>
      </c>
      <c r="C35" s="25" t="inlineStr">
        <is>
          <t>ทุกหน้าหยุดยิงคำขอเมื่อโหลดเสร็จ (ไม่มี polling วนไม่จบ)</t>
        </is>
      </c>
      <c r="D35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เข้าสู่ระบบทั้ง 3 บทบาท</t>
        </is>
      </c>
      <c r="E35" s="25" t="inlineStr">
        <is>
          <t>1. เปิดแต่ละหน้าของทุกบทบาท
2. รอหน้านิ่ง
3. นับคำขอที่ยิงเพิ่ม</t>
        </is>
      </c>
      <c r="F35" s="25" t="inlineStr">
        <is>
          <t>งบคำขอหลังหน้านิ่ง = 2</t>
        </is>
      </c>
      <c r="G35" s="25" t="inlineStr">
        <is>
          <t>ทุกหน้ายิงเพิ่มไม่เกิน 2 คำขอ</t>
        </is>
      </c>
      <c r="H35" s="25" t="inlineStr">
        <is>
          <t>ผลตรงตามที่คาดหวัง — assertion ผ่านครบ (67.36 วินาที)</t>
        </is>
      </c>
      <c r="I35" s="26" t="inlineStr">
        <is>
          <t>Pass</t>
        </is>
      </c>
      <c r="J35" s="25" t="n"/>
      <c r="K35" s="25" t="n"/>
      <c r="L35" s="25" t="inlineStr">
        <is>
          <t>DEV (127.0.0.1:3317 · next dev) · Chromium (Playwright 1.62) headless · 1280×720 · PostgreSQL 17.10 (nestly_test) · Windows 11</t>
        </is>
      </c>
      <c r="M35" s="25" t="inlineStr">
        <is>
          <t>Playwright 1.62 (อัตโนมัติ)</t>
        </is>
      </c>
      <c r="N35" s="27" t="n">
        <v>46324.79750740741</v>
      </c>
      <c r="O35" s="28" t="inlineStr">
        <is>
          <t>evidence-ui/TC_UI_PERF_005.png</t>
        </is>
      </c>
      <c r="P35" s="25" t="inlineStr">
        <is>
          <t>ผลจากรอบที่ 1 — รันทั้งชุด
สคริปต์: tests/e2e/request-budget.spec.ts
ชื่อเทสต์: งบคำขอของแต่ละหน้า › ทุกหน้าหยุดยิงคำขอเมื่อโหลดเสร็จแล้ว</t>
        </is>
      </c>
    </row>
    <row r="36" ht="180" customHeight="1">
      <c r="A36" s="24" t="inlineStr">
        <is>
          <t>TC_UI_RESP_001</t>
        </is>
      </c>
      <c r="B36" s="25" t="inlineStr">
        <is>
          <t>Responsive</t>
        </is>
      </c>
      <c r="C36" s="25" t="inlineStr">
        <is>
          <t>หน้าเจ้าของหอใช้งานได้บนจอมือถือ</t>
        </is>
      </c>
      <c r="D36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 · จอ 390×844</t>
        </is>
      </c>
      <c r="E36" s="25" t="inlineStr">
        <is>
          <t>1. เปิดหน้าเจ้าของหอ
2. เปิดเมนูหลัก
3. ตรวจการล้นจอ</t>
        </is>
      </c>
      <c r="F36" s="25" t="inlineStr">
        <is>
          <t>viewport 390×844</t>
        </is>
      </c>
      <c r="G36" s="25" t="inlineStr">
        <is>
          <t>เมนูเปิดได้ · ไม่มีการเลื่อนแนวนอน</t>
        </is>
      </c>
      <c r="H36" s="25" t="inlineStr">
        <is>
          <t>ผลตรงตามที่คาดหวัง — assertion ผ่านครบ (1.55 วินาที)</t>
        </is>
      </c>
      <c r="I36" s="26" t="inlineStr">
        <is>
          <t>Pass</t>
        </is>
      </c>
      <c r="J36" s="25" t="n"/>
      <c r="K36" s="25" t="n"/>
      <c r="L36" s="25" t="inlineStr">
        <is>
          <t>DEV (127.0.0.1:3317 · next dev) · Chromium (Playwright 1.62) headless · 1280×720 · PostgreSQL 17.10 (nestly_test) · Windows 11</t>
        </is>
      </c>
      <c r="M36" s="25" t="inlineStr">
        <is>
          <t>Playwright 1.62 (อัตโนมัติ)</t>
        </is>
      </c>
      <c r="N36" s="27" t="n">
        <v>46324.79828802084</v>
      </c>
      <c r="O36" s="28" t="inlineStr">
        <is>
          <t>evidence-ui/TC_UI_RESP_001.png</t>
        </is>
      </c>
      <c r="P36" s="25" t="inlineStr">
        <is>
          <t>ผลจากรอบที่ 1 — รันทั้งชุด
สคริปต์: tests/e2e/responsive.spec.ts
ชื่อเทสต์: owner workspace remains usable on a mobile viewport</t>
        </is>
      </c>
    </row>
    <row r="37" ht="180" customHeight="1">
      <c r="A37" s="24" t="inlineStr">
        <is>
          <t>TC_UI_RESP_002</t>
        </is>
      </c>
      <c r="B37" s="25" t="inlineStr">
        <is>
          <t>Responsive</t>
        </is>
      </c>
      <c r="C37" s="25" t="inlineStr">
        <is>
          <t>หน้าผู้เช่าใช้งานได้บนจอมือถือ</t>
        </is>
      </c>
      <c r="D37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e2e-tenant@example.test · จอ 390×844</t>
        </is>
      </c>
      <c r="E37" s="25" t="inlineStr">
        <is>
          <t>1. เปิดหน้าผู้เช่า
2. ใช้เมนูนำทาง
3. ตรวจการล้นจอ</t>
        </is>
      </c>
      <c r="F37" s="25" t="inlineStr">
        <is>
          <t>viewport 390×844</t>
        </is>
      </c>
      <c r="G37" s="25" t="inlineStr">
        <is>
          <t>เมนูนำทางใช้ได้ · ไม่มีการเลื่อนแนวนอน</t>
        </is>
      </c>
      <c r="H37" s="25" t="inlineStr">
        <is>
          <t>ผลตรงตามที่คาดหวัง — assertion ผ่านครบ (2.65 วินาที)</t>
        </is>
      </c>
      <c r="I37" s="26" t="inlineStr">
        <is>
          <t>Pass</t>
        </is>
      </c>
      <c r="J37" s="25" t="n"/>
      <c r="K37" s="25" t="n"/>
      <c r="L37" s="25" t="inlineStr">
        <is>
          <t>DEV (127.0.0.1:3317 · next dev) · Chromium (Playwright 1.62) headless · 1280×720 · PostgreSQL 17.10 (nestly_test) · Windows 11</t>
        </is>
      </c>
      <c r="M37" s="25" t="inlineStr">
        <is>
          <t>Playwright 1.62 (อัตโนมัติ)</t>
        </is>
      </c>
      <c r="N37" s="27" t="n">
        <v>46324.79830609954</v>
      </c>
      <c r="O37" s="28" t="inlineStr">
        <is>
          <t>evidence-ui/TC_UI_RESP_002.png</t>
        </is>
      </c>
      <c r="P37" s="25" t="inlineStr">
        <is>
          <t>ผลจากรอบที่ 1 — รันทั้งชุด
สคริปต์: tests/e2e/responsive.spec.ts
ชื่อเทสต์: tenant portal remains usable on a mobile viewport</t>
        </is>
      </c>
    </row>
    <row r="38" ht="180" customHeight="1">
      <c r="A38" s="24" t="inlineStr">
        <is>
          <t>TC_UI_RESP_003</t>
        </is>
      </c>
      <c r="B38" s="25" t="inlineStr">
        <is>
          <t>Responsive</t>
        </is>
      </c>
      <c r="C38" s="25" t="inlineStr">
        <is>
          <t>เมนู Super Admin ใช้งานได้บนจอมือถือ</t>
        </is>
      </c>
      <c r="D38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e2e-super-admin@example.test · จอ 390×844</t>
        </is>
      </c>
      <c r="E38" s="25" t="inlineStr">
        <is>
          <t>1. เปิดหน้า Super Admin
2. เปิดเมนูหลัก
3. ตรวจการล้นจอ</t>
        </is>
      </c>
      <c r="F38" s="25" t="inlineStr">
        <is>
          <t>viewport 390×844</t>
        </is>
      </c>
      <c r="G38" s="25" t="inlineStr">
        <is>
          <t>เมนูเปิดได้ · ไม่มีการเลื่อนแนวนอน</t>
        </is>
      </c>
      <c r="H38" s="25" t="inlineStr">
        <is>
          <t>ผลตรงตามที่คาดหวัง — assertion ผ่านครบ (1.42 วินาที)</t>
        </is>
      </c>
      <c r="I38" s="26" t="inlineStr">
        <is>
          <t>Pass</t>
        </is>
      </c>
      <c r="J38" s="25" t="n"/>
      <c r="K38" s="25" t="n"/>
      <c r="L38" s="25" t="inlineStr">
        <is>
          <t>DEV (127.0.0.1:3317 · next dev) · Chromium (Playwright 1.62) headless · 1280×720 · PostgreSQL 17.10 (nestly_test) · Windows 11</t>
        </is>
      </c>
      <c r="M38" s="25" t="inlineStr">
        <is>
          <t>Playwright 1.62 (อัตโนมัติ)</t>
        </is>
      </c>
      <c r="N38" s="27" t="n">
        <v>46324.79833701389</v>
      </c>
      <c r="O38" s="28" t="inlineStr">
        <is>
          <t>evidence-ui/TC_UI_RESP_003.png</t>
        </is>
      </c>
      <c r="P38" s="25" t="inlineStr">
        <is>
          <t>ผลจากรอบที่ 1 — รันทั้งชุด
สคริปต์: tests/e2e/responsive.spec.ts
ชื่อเทสต์: super admin navigation remains usable on a mobile viewport</t>
        </is>
      </c>
    </row>
    <row r="39" ht="165" customHeight="1">
      <c r="A39" s="24" t="inlineStr">
        <is>
          <t>TC_UI_SUB_001</t>
        </is>
      </c>
      <c r="B39" s="25" t="inlineStr">
        <is>
          <t>Subscription Access</t>
        </is>
      </c>
      <c r="C39" s="25" t="inlineStr">
        <is>
          <t>แพ็กเกจ FULL ปุ่มแก้ไขข้อมูลใช้งานได้ครบ</t>
        </is>
      </c>
      <c r="D39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 · ตั้งแพ็กเกจเป็น ACTIVE</t>
        </is>
      </c>
      <c r="E39" s="25" t="inlineStr">
        <is>
          <t>1. เปิดหน้าตั้งค่า
2. เปิดหน้าสัญญาเช่า</t>
        </is>
      </c>
      <c r="F39" s="25" t="inlineStr">
        <is>
          <t>accessMode = FULL</t>
        </is>
      </c>
      <c r="G39" s="25" t="inlineStr">
        <is>
          <t>ไม่มีแถบเตือน · ปุ่มบันทึกและสร้างสัญญากดได้</t>
        </is>
      </c>
      <c r="H39" s="25" t="inlineStr">
        <is>
          <t>ผลตรงตามที่คาดหวัง — assertion ผ่านครบ (2.87 วินาที)</t>
        </is>
      </c>
      <c r="I39" s="26" t="inlineStr">
        <is>
          <t>Pass</t>
        </is>
      </c>
      <c r="J39" s="25" t="n"/>
      <c r="K39" s="25" t="n"/>
      <c r="L39" s="25" t="inlineStr">
        <is>
          <t>DEV (127.0.0.1:3317 · next dev) · Chromium (Playwright 1.62) headless · 1280×720 · PostgreSQL 17.10 (nestly_test) · Windows 11</t>
        </is>
      </c>
      <c r="M39" s="25" t="inlineStr">
        <is>
          <t>Playwright 1.62 (อัตโนมัติ)</t>
        </is>
      </c>
      <c r="N39" s="27" t="n">
        <v>46324.79835396991</v>
      </c>
      <c r="O39" s="28" t="inlineStr">
        <is>
          <t>evidence-ui/TC_UI_SUB_001.png</t>
        </is>
      </c>
      <c r="P39" s="25" t="inlineStr">
        <is>
          <t>ผลจากรอบที่ 1 — รันทั้งชุด
สคริปต์: tests/e2e/subscription-access.spec.ts
ชื่อเทสต์: subscription access UX › FULL keeps owner mutation controls available</t>
        </is>
      </c>
    </row>
    <row r="40" ht="165" customHeight="1">
      <c r="A40" s="24" t="inlineStr">
        <is>
          <t>TC_UI_SUB_002</t>
        </is>
      </c>
      <c r="B40" s="25" t="inlineStr">
        <is>
          <t>Subscription Access</t>
        </is>
      </c>
      <c r="C40" s="25" t="inlineStr">
        <is>
          <t>แพ็กเกจช่วงผ่อนผันแจ้งวันหมดเขตแต่ยังทำงานได้</t>
        </is>
      </c>
      <c r="D40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 · ตั้งแพ็กเกจหมดอายุในช่วงผ่อนผัน</t>
        </is>
      </c>
      <c r="E40" s="25" t="inlineStr">
        <is>
          <t>1. เปิดหน้าสัญญาเช่า</t>
        </is>
      </c>
      <c r="F40" s="25" t="inlineStr">
        <is>
          <t>accessMode = GRACE</t>
        </is>
      </c>
      <c r="G40" s="25" t="inlineStr">
        <is>
          <t>แถบเตือนบอกวันสิ้นสุดช่วงผ่อนผัน · ปุ่มแก้ไขยังกดได้</t>
        </is>
      </c>
      <c r="H40" s="25" t="inlineStr">
        <is>
          <t>ผลตรงตามที่คาดหวัง — assertion ผ่านครบ (2.00 วินาที)</t>
        </is>
      </c>
      <c r="I40" s="26" t="inlineStr">
        <is>
          <t>Pass</t>
        </is>
      </c>
      <c r="J40" s="25" t="n"/>
      <c r="K40" s="25" t="n"/>
      <c r="L40" s="25" t="inlineStr">
        <is>
          <t>DEV (127.0.0.1:3317 · next dev) · Chromium (Playwright 1.62) headless · 1280×720 · PostgreSQL 17.10 (nestly_test) · Windows 11</t>
        </is>
      </c>
      <c r="M40" s="25" t="inlineStr">
        <is>
          <t>Playwright 1.62 (อัตโนมัติ)</t>
        </is>
      </c>
      <c r="N40" s="27" t="n">
        <v>46324.79838729167</v>
      </c>
      <c r="O40" s="28" t="inlineStr">
        <is>
          <t>evidence-ui/TC_UI_SUB_002.png</t>
        </is>
      </c>
      <c r="P40" s="25" t="inlineStr">
        <is>
          <t>ผลจากรอบที่ 1 — รันทั้งชุด
สคริปต์: tests/e2e/subscription-access.spec.ts
ชื่อเทสต์: subscription access UX › GRACE communicates the deadline without disabling work</t>
        </is>
      </c>
    </row>
    <row r="41" ht="165" customHeight="1">
      <c r="A41" s="24" t="inlineStr">
        <is>
          <t>TC_UI_SUB_003</t>
        </is>
      </c>
      <c r="B41" s="25" t="inlineStr">
        <is>
          <t>Subscription Access</t>
        </is>
      </c>
      <c r="C41" s="25" t="inlineStr">
        <is>
          <t>อ่านอย่างเดียว: ยังอ่านข้อมูลและต่ออายุได้ แต่ปุ่มแก้ไขถูกปิด</t>
        </is>
      </c>
      <c r="D41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 · ตั้งแพ็กเกจหมดอายุเกินช่วงผ่อนผัน</t>
        </is>
      </c>
      <c r="E41" s="25" t="inlineStr">
        <is>
          <t>1. เปิดสัญญาเช่า / ผู้เช่า
2. เปิดหน้าแพ็กเกจ</t>
        </is>
      </c>
      <c r="F41" s="25" t="inlineStr">
        <is>
          <t>accessMode = READ_ONLY</t>
        </is>
      </c>
      <c r="G41" s="25" t="inlineStr">
        <is>
          <t>ข้อมูลยังแสดง · ปุ่มแก้ไขข้อมูลหายหรือถูกปิด · หน้าแพ็กเกจยังต่ออายุได้</t>
        </is>
      </c>
      <c r="H41" s="25" t="inlineStr">
        <is>
          <t>ผลตรงตามที่คาดหวัง — assertion ผ่านครบ (4.96 วินาที)</t>
        </is>
      </c>
      <c r="I41" s="26" t="inlineStr">
        <is>
          <t>Pass</t>
        </is>
      </c>
      <c r="J41" s="25" t="n"/>
      <c r="K41" s="25" t="n"/>
      <c r="L41" s="25" t="inlineStr">
        <is>
          <t>DEV (127.0.0.1:3317 · next dev) · Chromium (Playwright 1.62) headless · 1280×720 · PostgreSQL 17.10 (nestly_test) · Windows 11</t>
        </is>
      </c>
      <c r="M41" s="25" t="inlineStr">
        <is>
          <t>Playwright 1.62 (อัตโนมัติ)</t>
        </is>
      </c>
      <c r="N41" s="27" t="n">
        <v>46324.79841046296</v>
      </c>
      <c r="O41" s="28" t="inlineStr">
        <is>
          <t>evidence-ui/TC_UI_SUB_003.png</t>
        </is>
      </c>
      <c r="P41" s="25" t="inlineStr">
        <is>
          <t>ผลจากรอบที่ 1 — รันทั้งชุด
สคริปต์: tests/e2e/subscription-access.spec.ts
ชื่อเทสต์: subscription access UX › READ_ONLY preserves reading and renewal while removing mutations</t>
        </is>
      </c>
    </row>
    <row r="42" ht="165" customHeight="1">
      <c r="A42" s="24" t="inlineStr">
        <is>
          <t>TC_UI_SUB_004</t>
        </is>
      </c>
      <c r="B42" s="25" t="inlineStr">
        <is>
          <t>Subscription Access</t>
        </is>
      </c>
      <c r="C42" s="25" t="inlineStr">
        <is>
          <t>ผู้เช่าในหออ่านอย่างเดียวยังอ่านได้ แต่ส่งข้อมูลใหม่ไม่ได้</t>
        </is>
      </c>
      <c r="D42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e2e-tenant@example.test · หอเป็น READ_ONLY</t>
        </is>
      </c>
      <c r="E42" s="25" t="inlineStr">
        <is>
          <t>1. เปิด /tenant/invoices
2. เปิด /tenant/tickets
3. เปิด /tenant/chat</t>
        </is>
      </c>
      <c r="F42" s="25" t="inlineStr">
        <is>
          <t>accessMode = READ_ONLY</t>
        </is>
      </c>
      <c r="G42" s="25" t="inlineStr">
        <is>
          <t>อ่านบิลได้ · ปุ่มแจ้งเรื่องและส่งแชทถูกปิด</t>
        </is>
      </c>
      <c r="H42" s="25" t="inlineStr">
        <is>
          <t>ผลตรงตามที่คาดหวัง — assertion ผ่านครบ (6.79 วินาที)</t>
        </is>
      </c>
      <c r="I42" s="26" t="inlineStr">
        <is>
          <t>Pass</t>
        </is>
      </c>
      <c r="J42" s="25" t="n"/>
      <c r="K42" s="25" t="n"/>
      <c r="L42" s="25" t="inlineStr">
        <is>
          <t>DEV (127.0.0.1:3317 · next dev) · Chromium (Playwright 1.62) headless · 1280×720 · PostgreSQL 17.10 (nestly_test) · Windows 11</t>
        </is>
      </c>
      <c r="M42" s="25" t="inlineStr">
        <is>
          <t>Playwright 1.62 (อัตโนมัติ)</t>
        </is>
      </c>
      <c r="N42" s="27" t="n">
        <v>46324.79846799769</v>
      </c>
      <c r="O42" s="28" t="inlineStr">
        <is>
          <t>evidence-ui/TC_UI_SUB_004.png</t>
        </is>
      </c>
      <c r="P42" s="25" t="inlineStr">
        <is>
          <t>ผลจากรอบที่ 1 — รันทั้งชุด
สคริปต์: tests/e2e/subscription-access.spec.ts
ชื่อเทสต์: subscription access UX › READ_ONLY tenant can read records but cannot submit new data</t>
        </is>
      </c>
    </row>
    <row r="43" ht="180" customHeight="1">
      <c r="A43" s="24" t="inlineStr">
        <is>
          <t>TC_UI_RESP_004</t>
        </is>
      </c>
      <c r="B43" s="25" t="inlineStr">
        <is>
          <t>Responsive</t>
        </is>
      </c>
      <c r="C43" s="25" t="inlineStr">
        <is>
          <t>แถบสถานะแพ็กเกจไม่ล้นจอทั้งมือถือ แท็บเล็ต และเดสก์ท็อป</t>
        </is>
      </c>
      <c r="D43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43" s="25" t="inlineStr">
        <is>
          <t>1. เปิดหน้าบิลที่ 3 ขนาดจอ
2. วัดความกว้างหน้า</t>
        </is>
      </c>
      <c r="F43" s="25" t="inlineStr">
        <is>
          <t>390×844 · 768×1024 · 1440×900</t>
        </is>
      </c>
      <c r="G43" s="25" t="inlineStr">
        <is>
          <t>ไม่มีการเลื่อนแนวนอน (scrollWidth ≤ clientWidth)</t>
        </is>
      </c>
      <c r="H43" s="25" t="inlineStr">
        <is>
          <t>ผลตรงตามที่คาดหวัง — assertion ผ่านครบ (4.59 วินาที)</t>
        </is>
      </c>
      <c r="I43" s="26" t="inlineStr">
        <is>
          <t>Pass</t>
        </is>
      </c>
      <c r="J43" s="25" t="n"/>
      <c r="K43" s="25" t="n"/>
      <c r="L43" s="25" t="inlineStr">
        <is>
          <t>DEV (127.0.0.1:3317 · next dev) · Chromium (Playwright 1.62) headless · 1280×720 · PostgreSQL 17.10 (nestly_test) · Windows 11</t>
        </is>
      </c>
      <c r="M43" s="25" t="inlineStr">
        <is>
          <t>Playwright 1.62 (อัตโนมัติ)</t>
        </is>
      </c>
      <c r="N43" s="27" t="n">
        <v>46324.79854672454</v>
      </c>
      <c r="O43" s="28" t="inlineStr">
        <is>
          <t>evidence-ui/TC_UI_RESP_004.png</t>
        </is>
      </c>
      <c r="P43" s="25" t="inlineStr">
        <is>
          <t>ผลจากรอบที่ 1 — รันทั้งชุด
สคริปต์: tests/e2e/subscription-access.spec.ts
ชื่อเทสต์: subscription access UX › responsive layouts do not overflow at mobile, tablet, or desktop widths</t>
        </is>
      </c>
    </row>
    <row r="44" ht="180" customHeight="1">
      <c r="A44" s="24" t="inlineStr">
        <is>
          <t>TC_UI_MOB_005</t>
        </is>
      </c>
      <c r="B44" s="25" t="inlineStr">
        <is>
          <t>Mobile Touch Target</t>
        </is>
      </c>
      <c r="C44" s="25" t="inlineStr">
        <is>
          <t>ปุ่มบนมือถือมีขนาดอย่างน้อย 44×44 px</t>
        </is>
      </c>
      <c r="D44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44" s="25" t="inlineStr">
        <is>
          <t>1. ตั้งจอ 390×844
2. เปิดหน้าพัสดุและตั้งค่า
3. วัดขนาดปุ่ม</t>
        </is>
      </c>
      <c r="F44" s="25" t="inlineStr">
        <is>
          <t>viewport 390×844</t>
        </is>
      </c>
      <c r="G44" s="25" t="inlineStr">
        <is>
          <t>ปุ่มสำคัญทุกปุ่มกว้างและสูง ≥ 44 px</t>
        </is>
      </c>
      <c r="H44" s="25" t="inlineStr">
        <is>
          <t>ผลตรงตามที่คาดหวัง — assertion ผ่านครบ (5.28 วินาที)</t>
        </is>
      </c>
      <c r="I44" s="26" t="inlineStr">
        <is>
          <t>Pass</t>
        </is>
      </c>
      <c r="J44" s="25" t="n"/>
      <c r="K44" s="25" t="n"/>
      <c r="L44" s="25" t="inlineStr">
        <is>
          <t>DEV (127.0.0.1:3317 · next dev) · Chromium (Playwright 1.62) headless · 1280×720 · PostgreSQL 17.10 (nestly_test) · Windows 11</t>
        </is>
      </c>
      <c r="M44" s="25" t="inlineStr">
        <is>
          <t>Playwright 1.62 (อัตโนมัติ)</t>
        </is>
      </c>
      <c r="N44" s="27" t="n">
        <v>46324.79859996528</v>
      </c>
      <c r="O44" s="28" t="inlineStr">
        <is>
          <t>evidence-ui/TC_UI_MOB_005.png</t>
        </is>
      </c>
      <c r="P44" s="25" t="inlineStr">
        <is>
          <t>ผลจากรอบที่ 1 — รันทั้งชุด
สคริปต์: tests/e2e/subscription-access.spec.ts
ชื่อเทสต์: subscription access UX › mobile actions expose at least 44 by 44 pixel touch targets</t>
        </is>
      </c>
    </row>
    <row r="45" ht="165" customHeight="1">
      <c r="A45" s="24" t="inlineStr">
        <is>
          <t>TC_UI_A11Y_007</t>
        </is>
      </c>
      <c r="B45" s="25" t="inlineStr">
        <is>
          <t>Accessibility</t>
        </is>
      </c>
      <c r="C45" s="25" t="inlineStr">
        <is>
          <t>สถานะอ่านอย่างเดียวสื่อสารผ่านคีย์บอร์ดและ screen reader ได้</t>
        </is>
      </c>
      <c r="D45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 · หอเป็น READ_ONLY</t>
        </is>
      </c>
      <c r="E45" s="25" t="inlineStr">
        <is>
          <t>1. กด Tab ไปที่แถบเตือน
2. วัดความต่างสีข้อความในแถบ</t>
        </is>
      </c>
      <c r="F45" s="25" t="inlineStr">
        <is>
          <t>accessMode = READ_ONLY</t>
        </is>
      </c>
      <c r="G45" s="25" t="inlineStr">
        <is>
          <t>แถบเตือนมี role ที่ screen reader อ่านได้ · ปุ่มที่ปิดมี aria-disabled · contrast ≥ 4.5:1</t>
        </is>
      </c>
      <c r="H45" s="25" t="inlineStr">
        <is>
          <t>ผลตรงตามที่คาดหวัง — assertion ผ่านครบ (1.43 วินาที)</t>
        </is>
      </c>
      <c r="I45" s="26" t="inlineStr">
        <is>
          <t>Pass</t>
        </is>
      </c>
      <c r="J45" s="25" t="n"/>
      <c r="K45" s="25" t="n"/>
      <c r="L45" s="25" t="inlineStr">
        <is>
          <t>DEV (127.0.0.1:3317 · next dev) · Chromium (Playwright 1.62) headless · 1280×720 · PostgreSQL 17.10 (nestly_test) · Windows 11</t>
        </is>
      </c>
      <c r="M45" s="25" t="inlineStr">
        <is>
          <t>Playwright 1.62 (อัตโนมัติ)</t>
        </is>
      </c>
      <c r="N45" s="27" t="n">
        <v>46324.79866121527</v>
      </c>
      <c r="O45" s="28" t="inlineStr">
        <is>
          <t>evidence-ui/TC_UI_A11Y_007.png</t>
        </is>
      </c>
      <c r="P45" s="25" t="inlineStr">
        <is>
          <t>ผลจากรอบที่ 1 — รันทั้งชุด
สคริปต์: tests/e2e/subscription-access.spec.ts
ชื่อเทสต์: subscription access UX › keyboard and accessibility semantics expose the read-only state</t>
        </is>
      </c>
    </row>
    <row r="46" ht="165" customHeight="1">
      <c r="A46" s="24" t="inlineStr">
        <is>
          <t>TC_UI_A11Y_008</t>
        </is>
      </c>
      <c r="B46" s="25" t="inlineStr">
        <is>
          <t>Accessibility</t>
        </is>
      </c>
      <c r="C46" s="25" t="inlineStr">
        <is>
          <t>live region ประกาศการเปลี่ยนหน้าและจำนวนแจ้งเตือนครั้งเดียว</t>
        </is>
      </c>
      <c r="D46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46" s="25" t="inlineStr">
        <is>
          <t>1. เปลี่ยนหน้า
2. เปลี่ยนจำนวนแจ้งเตือน
3. อ่านข้อความใน live region</t>
        </is>
      </c>
      <c r="F46" s="25" t="inlineStr">
        <is>
          <t>aria-live</t>
        </is>
      </c>
      <c r="G46" s="25" t="inlineStr">
        <is>
          <t>ประกาศชื่อหน้าใหม่และจำนวนแจ้งเตือนอย่างละ 1 ครั้ง</t>
        </is>
      </c>
      <c r="H46" s="25" t="inlineStr">
        <is>
          <t>ผลตรงตามที่คาดหวัง — assertion ผ่านครบ (2.56 วินาที)</t>
        </is>
      </c>
      <c r="I46" s="26" t="inlineStr">
        <is>
          <t>Pass</t>
        </is>
      </c>
      <c r="J46" s="25" t="n"/>
      <c r="K46" s="25" t="n"/>
      <c r="L46" s="25" t="inlineStr">
        <is>
          <t>DEV (127.0.0.1:3317 · next dev) · Chromium (Playwright 1.62) headless · 1280×720 · PostgreSQL 17.10 (nestly_test) · Windows 11</t>
        </is>
      </c>
      <c r="M46" s="25" t="inlineStr">
        <is>
          <t>Playwright 1.62 (อัตโนมัติ)</t>
        </is>
      </c>
      <c r="N46" s="27" t="n">
        <v>46324.79867783565</v>
      </c>
      <c r="O46" s="28" t="inlineStr">
        <is>
          <t>evidence-ui/TC_UI_A11Y_008.png</t>
        </is>
      </c>
      <c r="P46" s="25" t="inlineStr">
        <is>
          <t>ผลจากรอบที่ 1 — รันทั้งชุด
สคริปต์: tests/e2e/subscription-access.spec.ts
ชื่อเทสต์: subscription access UX › screen reader live regions announce navigation and notification count changes once</t>
        </is>
      </c>
    </row>
    <row r="47" ht="165" customHeight="1">
      <c r="A47" s="24" t="inlineStr">
        <is>
          <t>TC_UI_A11Y_009</t>
        </is>
      </c>
      <c r="B47" s="25" t="inlineStr">
        <is>
          <t>Accessibility</t>
        </is>
      </c>
      <c r="C47" s="25" t="inlineStr">
        <is>
          <t>dialog กัก focus ไว้ภายใน ปิดด้วย Esc แล้วคืน focus ไปที่ปุ่มเดิม</t>
        </is>
      </c>
      <c r="D47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47" s="25" t="inlineStr">
        <is>
          <t>1. เปิด dialog
2. กด Tab วนจนสุด
3. กด Escape</t>
        </is>
      </c>
      <c r="F47" s="25" t="inlineStr">
        <is>
          <t>Tab · Shift+Tab · Escape</t>
        </is>
      </c>
      <c r="G47" s="25" t="inlineStr">
        <is>
          <t>focus ไม่หลุดออกนอก dialog · Esc ปิด dialog · focus กลับไปที่ปุ่มที่เปิด</t>
        </is>
      </c>
      <c r="H47" s="25" t="inlineStr">
        <is>
          <t>ผลตรงตามที่คาดหวัง — assertion ผ่านครบ (2.23 วินาที)</t>
        </is>
      </c>
      <c r="I47" s="26" t="inlineStr">
        <is>
          <t>Pass</t>
        </is>
      </c>
      <c r="J47" s="25" t="n"/>
      <c r="K47" s="25" t="n"/>
      <c r="L47" s="25" t="inlineStr">
        <is>
          <t>DEV (127.0.0.1:3317 · next dev) · Chromium (Playwright 1.62) headless · 1280×720 · PostgreSQL 17.10 (nestly_test) · Windows 11</t>
        </is>
      </c>
      <c r="M47" s="25" t="inlineStr">
        <is>
          <t>Playwright 1.62 (อัตโนมัติ)</t>
        </is>
      </c>
      <c r="N47" s="27" t="n">
        <v>46324.7987075</v>
      </c>
      <c r="O47" s="28" t="inlineStr">
        <is>
          <t>evidence-ui/TC_UI_A11Y_009.png</t>
        </is>
      </c>
      <c r="P47" s="25" t="inlineStr">
        <is>
          <t>ผลจากรอบที่ 1 — รันทั้งชุด
สคริปต์: tests/e2e/subscription-access.spec.ts
ชื่อเทสต์: subscription access UX › shared dialog traps focus, closes on Escape, and restores trigger focus</t>
        </is>
      </c>
    </row>
    <row r="48" ht="180" customHeight="1">
      <c r="A48" s="24" t="inlineStr">
        <is>
          <t>TC_UI_A11Y_010</t>
        </is>
      </c>
      <c r="B48" s="25" t="inlineStr">
        <is>
          <t>Accessibility</t>
        </is>
      </c>
      <c r="C48" s="25" t="inlineStr">
        <is>
          <t>tooltip ของปุ่มไอคอนแสดงเมื่อ hover/focus ปิดได้ และไม่ล้นจอมือถือ</t>
        </is>
      </c>
      <c r="D48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48" s="25" t="inlineStr">
        <is>
          <t>1. hover ปุ่มไอคอน
2. focus ด้วย Tab
3. กด Escape
4. ตรวจบนจอมือถือ</t>
        </is>
      </c>
      <c r="F48" s="25" t="inlineStr">
        <is>
          <t>viewport มือถือ</t>
        </is>
      </c>
      <c r="G48" s="25" t="inlineStr">
        <is>
          <t>tooltip แสดงข้อความการกระทำ · Esc ปิดได้ · อยู่ในขอบจอ</t>
        </is>
      </c>
      <c r="H48" s="25" t="inlineStr">
        <is>
          <t>ผลตรงตามที่คาดหวัง — assertion ผ่านครบ (2.59 วินาที)</t>
        </is>
      </c>
      <c r="I48" s="26" t="inlineStr">
        <is>
          <t>Pass</t>
        </is>
      </c>
      <c r="J48" s="25" t="n"/>
      <c r="K48" s="25" t="n"/>
      <c r="L48" s="25" t="inlineStr">
        <is>
          <t>DEV (127.0.0.1:3317 · next dev) · Chromium (Playwright 1.62) headless · 1280×720 · PostgreSQL 17.10 (nestly_test) · Windows 11</t>
        </is>
      </c>
      <c r="M48" s="25" t="inlineStr">
        <is>
          <t>Playwright 1.62 (อัตโนมัติ)</t>
        </is>
      </c>
      <c r="N48" s="27" t="n">
        <v>46324.7987333912</v>
      </c>
      <c r="O48" s="28" t="inlineStr">
        <is>
          <t>evidence-ui/TC_UI_A11Y_010.png</t>
        </is>
      </c>
      <c r="P48" s="25" t="inlineStr">
        <is>
          <t>ผลจากรอบที่ 1 — รันทั้งชุด
สคริปต์: tests/e2e/subscription-access.spec.ts
ชื่อเทสต์: subscription access UX › icon tooltips support hover, focus, dismissal, action text, and mobile viewport bounds</t>
        </is>
      </c>
    </row>
    <row r="49" ht="165" customHeight="1">
      <c r="A49" s="24" t="inlineStr">
        <is>
          <t>TC_UI_SUB_005</t>
        </is>
      </c>
      <c r="B49" s="25" t="inlineStr">
        <is>
          <t>Subscription Access</t>
        </is>
      </c>
      <c r="C49" s="25" t="inlineStr">
        <is>
          <t>ระหว่างรอตรวจสิทธิ์ที่ช้า ระบบแจ้งว่ากำลังตรวจสอบ (Fail-closed)</t>
        </is>
      </c>
      <c r="D49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แพ็กเกจ FULL</t>
        </is>
      </c>
      <c r="E49" s="25" t="inlineStr">
        <is>
          <t>1. หน่วง API /api/v1/tenant/notifications/summary 1.5 วินาที
2. ผู้เช่าเข้าสู่ระบบ
3. รอให้ตรวจสิทธิ์เสร็จ</t>
        </is>
      </c>
      <c r="F49" s="25" t="inlineStr">
        <is>
          <t>Email: e2e-tenant@example.test · หน่วง 1,500 ms</t>
        </is>
      </c>
      <c r="G49" s="25" t="inlineStr">
        <is>
          <t>แสดงสถานะ "กำลังตรวจสอบสิทธิ์การใช้งาน" แล้วหายไปเมื่อตรวจเสร็จ</t>
        </is>
      </c>
      <c r="H49" s="25" t="inlineStr">
        <is>
          <t>ผลตรงตามที่คาดหวัง — assertion ผ่านครบ (3.65 วินาที)</t>
        </is>
      </c>
      <c r="I49" s="26" t="inlineStr">
        <is>
          <t>Pass</t>
        </is>
      </c>
      <c r="J49" s="25" t="n"/>
      <c r="K49" s="25" t="n"/>
      <c r="L49" s="25" t="inlineStr">
        <is>
          <t>DEV (127.0.0.1:3317 · next dev) · Chromium (Playwright 1.62) headless · 1280×720 · PostgreSQL 17.10 (nestly_test) · Windows 11</t>
        </is>
      </c>
      <c r="M49" s="25" t="inlineStr">
        <is>
          <t>Playwright 1.62 (อัตโนมัติ)</t>
        </is>
      </c>
      <c r="N49" s="27" t="n">
        <v>46324.79876354166</v>
      </c>
      <c r="O49" s="28" t="inlineStr">
        <is>
          <t>evidence-ui/TC_UI_SUB_005.png</t>
        </is>
      </c>
      <c r="P49" s="25" t="inlineStr">
        <is>
          <t>ผลจากรอบที่ 1 — รันทั้งชุด
สคริปต์: tests/e2e/subscription-access.spec.ts
ชื่อเทสต์: subscription access UX › slow access checks remain fail-closed and announce progress</t>
        </is>
      </c>
    </row>
    <row r="50" ht="165" customHeight="1">
      <c r="A50" s="24" t="inlineStr">
        <is>
          <t>TC_UI_SUB_006</t>
        </is>
      </c>
      <c r="B50" s="25" t="inlineStr">
        <is>
          <t>Subscription Access</t>
        </is>
      </c>
      <c r="C50" s="25" t="inlineStr">
        <is>
          <t>เครือข่ายล่มต้องไม่แสดงว่าแพ็กเกจหมดอายุ</t>
        </is>
      </c>
      <c r="D50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แพ็กเกจ FULL</t>
        </is>
      </c>
      <c r="E50" s="25" t="inlineStr">
        <is>
          <t>1. ทำให้ API /api/v1/tenant/notifications/summary ล้มเหลว
2. ผู้เช่าเข้าสู่ระบบ</t>
        </is>
      </c>
      <c r="F50" s="25" t="inlineStr">
        <is>
          <t>route.abort("failed")</t>
        </is>
      </c>
      <c r="G50" s="25" t="inlineStr">
        <is>
          <t>แสดง alert "ยังตรวจสอบสิทธิ์การใช้งานไม่ได้" พร้อมปุ่ม "ลองตรวจสอบใหม่" · ไม่มีข้อความ "หอพักนี้อยู่ในโหมดอ่านอย่างเดียว"</t>
        </is>
      </c>
      <c r="H50" s="25" t="inlineStr">
        <is>
          <t>ผลตรงตามที่คาดหวัง — assertion ผ่านครบ (1.95 วินาที)</t>
        </is>
      </c>
      <c r="I50" s="26" t="inlineStr">
        <is>
          <t>Pass</t>
        </is>
      </c>
      <c r="J50" s="25" t="n"/>
      <c r="K50" s="25" t="n"/>
      <c r="L50" s="25" t="inlineStr">
        <is>
          <t>DEV (127.0.0.1:3317 · next dev) · Chromium (Playwright 1.62) headless · 1280×720 · PostgreSQL 17.10 (nestly_test) · Windows 11</t>
        </is>
      </c>
      <c r="M50" s="25" t="inlineStr">
        <is>
          <t>Playwright 1.62 (อัตโนมัติ)</t>
        </is>
      </c>
      <c r="N50" s="27" t="n">
        <v>46324.79880592592</v>
      </c>
      <c r="O50" s="28" t="inlineStr">
        <is>
          <t>evidence-ui/TC_UI_SUB_006.png</t>
        </is>
      </c>
      <c r="P50" s="25" t="inlineStr">
        <is>
          <t>ผลจากรอบที่ 1 — รันทั้งชุด
สคริปต์: tests/e2e/subscription-access.spec.ts
ชื่อเทสต์: subscription access UX › network errors are not mislabeled as an expired package</t>
        </is>
      </c>
    </row>
    <row r="51" ht="165" customHeight="1">
      <c r="A51" s="24" t="inlineStr">
        <is>
          <t>TC_UI_SESSION_001</t>
        </is>
      </c>
      <c r="B51" s="25" t="inlineStr">
        <is>
          <t>Session Management</t>
        </is>
      </c>
      <c r="C51" s="25" t="inlineStr">
        <is>
          <t>session หมดอายุระหว่างใช้งานแล้วพากลับหน้าเข้าสู่ระบบ</t>
        </is>
      </c>
      <c r="D51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 · แพ็กเกจ FULL</t>
        </is>
      </c>
      <c r="E51" s="25" t="inlineStr">
        <is>
          <t>1. ตั้ง Session.expiresAt ย้อนหลัง 1 นาทีในฐานข้อมูล
2. เปิดหน้าสัญญาเช่า</t>
        </is>
      </c>
      <c r="F51" s="25" t="inlineStr">
        <is>
          <t>expiresAt = NOW() − 1 นาที</t>
        </is>
      </c>
      <c r="G51" s="25" t="inlineStr">
        <is>
          <t>ถูกพาไปที่ /login</t>
        </is>
      </c>
      <c r="H51" s="25" t="inlineStr">
        <is>
          <t>ผลตรงตามที่คาดหวัง — assertion ผ่านครบ (1.97 วินาที)</t>
        </is>
      </c>
      <c r="I51" s="26" t="inlineStr">
        <is>
          <t>Pass</t>
        </is>
      </c>
      <c r="J51" s="25" t="n"/>
      <c r="K51" s="25" t="n"/>
      <c r="L51" s="25" t="inlineStr">
        <is>
          <t>DEV (127.0.0.1:3317 · next dev) · Chromium (Playwright 1.62) headless · 1280×720 · PostgreSQL 17.10 (nestly_test) · Windows 11</t>
        </is>
      </c>
      <c r="M51" s="25" t="inlineStr">
        <is>
          <t>Playwright 1.62 (อัตโนมัติ)</t>
        </is>
      </c>
      <c r="N51" s="27" t="n">
        <v>46324.79882859954</v>
      </c>
      <c r="O51" s="28" t="inlineStr">
        <is>
          <t>evidence-ui/TC_UI_SESSION_001.png</t>
        </is>
      </c>
      <c r="P51" s="25" t="inlineStr">
        <is>
          <t>ผลจากรอบที่ 1 — รันทั้งชุด
สคริปต์: tests/e2e/subscription-access.spec.ts
ชื่อเทสต์: subscription access UX › expired sessions return the user to login</t>
        </is>
      </c>
    </row>
    <row r="52" ht="180" customHeight="1">
      <c r="A52" s="24" t="inlineStr">
        <is>
          <t>TC_UI_TABLE_001</t>
        </is>
      </c>
      <c r="B52" s="25" t="inlineStr">
        <is>
          <t>Table Contract</t>
        </is>
      </c>
      <c r="C52" s="25" t="inlineStr">
        <is>
          <t>ตารางทุกหน้าของเจ้าของหอใช้โครงสร้างเดียวกัน</t>
        </is>
      </c>
      <c r="D52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 · จอ 1440×900</t>
        </is>
      </c>
      <c r="E52" s="25" t="inlineStr">
        <is>
          <t>1. เปิดทุกหน้าที่มีตาราง
2. ตรวจหัวตาราง (th scope) การจัดชิด และแถวว่าง</t>
        </is>
      </c>
      <c r="F52" s="25" t="inlineStr">
        <is>
          <t>ทุกหน้าในเมนูเจ้าของหอ</t>
        </is>
      </c>
      <c r="G52" s="25" t="inlineStr">
        <is>
          <t>ทุกตารางมีหัวตาราง caption/label และรูปแบบเดียวกัน</t>
        </is>
      </c>
      <c r="H52" s="25" t="inlineStr">
        <is>
          <t>ผลตรงตามที่คาดหวัง — assertion ผ่านครบ (25.02 วินาที)</t>
        </is>
      </c>
      <c r="I52" s="26" t="inlineStr">
        <is>
          <t>Pass</t>
        </is>
      </c>
      <c r="J52" s="25" t="n"/>
      <c r="K52" s="25" t="n"/>
      <c r="L52" s="25" t="inlineStr">
        <is>
          <t>DEV (127.0.0.1:3317 · next dev) · Chromium (Playwright 1.62) headless · 1280×720 · PostgreSQL 17.10 (nestly_test) · Windows 11</t>
        </is>
      </c>
      <c r="M52" s="25" t="inlineStr">
        <is>
          <t>Playwright 1.62 (อัตโนมัติ)</t>
        </is>
      </c>
      <c r="N52" s="27" t="n">
        <v>46324.79885151621</v>
      </c>
      <c r="O52" s="28" t="inlineStr">
        <is>
          <t>evidence-ui/TC_UI_TABLE_001.png</t>
        </is>
      </c>
      <c r="P52" s="25" t="inlineStr">
        <is>
          <t>ผลจากรอบที่ 1 — รันทั้งชุด
สคริปต์: tests/e2e/table-contract.spec.ts
ชื่อเทสต์: สัญญาของตารางทุกโรล › ตารางฝั่งเจ้าของหอครบทุกหน้า</t>
        </is>
      </c>
    </row>
    <row r="53" ht="180" customHeight="1">
      <c r="A53" s="24" t="inlineStr">
        <is>
          <t>TC_UI_TABLE_002</t>
        </is>
      </c>
      <c r="B53" s="25" t="inlineStr">
        <is>
          <t>Table Contract</t>
        </is>
      </c>
      <c r="C53" s="25" t="inlineStr">
        <is>
          <t>ตารางประวัติฝั่งผู้เช่าใช้โครงสร้างเดียวกัน</t>
        </is>
      </c>
      <c r="D53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e2e-tenant@example.test · จอ 1440×900</t>
        </is>
      </c>
      <c r="E53" s="25" t="inlineStr">
        <is>
          <t>1. เปิดหน้าประวัติบิล พัสดุ เรื่องแจ้ง
2. ตรวจโครงสร้างตาราง</t>
        </is>
      </c>
      <c r="F53" s="25" t="inlineStr">
        <is>
          <t>ทุกหน้าประวัติของผู้เช่า</t>
        </is>
      </c>
      <c r="G53" s="25" t="inlineStr">
        <is>
          <t>ทุกตารางผ่านข้อกำหนดเดียวกัน</t>
        </is>
      </c>
      <c r="H53" s="25" t="inlineStr">
        <is>
          <t>ผลตรงตามที่คาดหวัง — assertion ผ่านครบ (8.35 วินาที)</t>
        </is>
      </c>
      <c r="I53" s="26" t="inlineStr">
        <is>
          <t>Pass</t>
        </is>
      </c>
      <c r="J53" s="25" t="n"/>
      <c r="K53" s="25" t="n"/>
      <c r="L53" s="25" t="inlineStr">
        <is>
          <t>DEV (127.0.0.1:3317 · next dev) · Chromium (Playwright 1.62) headless · 1280×720 · PostgreSQL 17.10 (nestly_test) · Windows 11</t>
        </is>
      </c>
      <c r="M53" s="25" t="inlineStr">
        <is>
          <t>Playwright 1.62 (อัตโนมัติ)</t>
        </is>
      </c>
      <c r="N53" s="27" t="n">
        <v>46324.79914123843</v>
      </c>
      <c r="O53" s="28" t="inlineStr">
        <is>
          <t>evidence-ui/TC_UI_TABLE_002.png</t>
        </is>
      </c>
      <c r="P53" s="25" t="inlineStr">
        <is>
          <t>ผลจากรอบที่ 1 — รันทั้งชุด
สคริปต์: tests/e2e/table-contract.spec.ts
ชื่อเทสต์: สัญญาของตารางทุกโรล › ตารางประวัติฝั่งผู้เช่า</t>
        </is>
      </c>
    </row>
    <row r="54" ht="180" customHeight="1">
      <c r="A54" s="24" t="inlineStr">
        <is>
          <t>TC_UI_TABLE_003</t>
        </is>
      </c>
      <c r="B54" s="25" t="inlineStr">
        <is>
          <t>Table Contract</t>
        </is>
      </c>
      <c r="C54" s="25" t="inlineStr">
        <is>
          <t>ตารางฝั่ง Super Admin ใช้โครงสร้างเดียวกัน</t>
        </is>
      </c>
      <c r="D54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e2e-super-admin@example.test · จอ 1440×900</t>
        </is>
      </c>
      <c r="E54" s="25" t="inlineStr">
        <is>
          <t>1. เปิดทุกหน้าที่มีตารางของ Super Admin
2. ตรวจโครงสร้างตาราง</t>
        </is>
      </c>
      <c r="F54" s="25" t="inlineStr">
        <is>
          <t>บัญชี · แพ็กเกจ · หอพัก</t>
        </is>
      </c>
      <c r="G54" s="25" t="inlineStr">
        <is>
          <t>ทุกตารางผ่านข้อกำหนดเดียวกัน</t>
        </is>
      </c>
      <c r="H54" s="25" t="inlineStr">
        <is>
          <t>ผลตรงตามที่คาดหวัง — assertion ผ่านครบ (20.18 วินาที)</t>
        </is>
      </c>
      <c r="I54" s="26" t="inlineStr">
        <is>
          <t>Pass</t>
        </is>
      </c>
      <c r="J54" s="25" t="n"/>
      <c r="K54" s="25" t="n"/>
      <c r="L54" s="25" t="inlineStr">
        <is>
          <t>DEV (127.0.0.1:3317 · next dev) · Chromium (Playwright 1.62) headless · 1280×720 · PostgreSQL 17.10 (nestly_test) · Windows 11</t>
        </is>
      </c>
      <c r="M54" s="25" t="inlineStr">
        <is>
          <t>Playwright 1.62 (อัตโนมัติ)</t>
        </is>
      </c>
      <c r="N54" s="27" t="n">
        <v>46324.79923796296</v>
      </c>
      <c r="O54" s="28" t="inlineStr">
        <is>
          <t>evidence-ui/TC_UI_TABLE_003.png</t>
        </is>
      </c>
      <c r="P54" s="25" t="inlineStr">
        <is>
          <t>ผลจากรอบที่ 1 — รันทั้งชุด
สคริปต์: tests/e2e/table-contract.spec.ts
ชื่อเทสต์: สัญญาของตารางทุกโรล › ตารางฝั่งผู้ดูแลระบบ</t>
        </is>
      </c>
    </row>
    <row r="55" ht="165" customHeight="1">
      <c r="A55" s="24" t="inlineStr">
        <is>
          <t>TC_UI_OWNER_001</t>
        </is>
      </c>
      <c r="B55" s="25" t="inlineStr">
        <is>
          <t>Owner Journey</t>
        </is>
      </c>
      <c r="C55" s="25" t="inlineStr">
        <is>
          <t>เจ้าของหอใช้แท็บผังห้องและตั้งค่าด้วยคีย์บอร์ด</t>
        </is>
      </c>
      <c r="D55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55" s="25" t="inlineStr">
        <is>
          <t>1. เปิดหน้าห้องพัก
2. กดลูกศรเปลี่ยนแท็บชั้นและรูปแบบการแสดงผล
3. เปิดหน้าตั้งค่า กดลูกศร/Home ในแท็บเมนู</t>
        </is>
      </c>
      <c r="F55" s="25" t="inlineStr">
        <is>
          <t>แท็บ ทุกชั้น/ชั้น 1 · การ์ด/ตาราง · ข้อมูลหอ/ค่าใช้จ่าย/แพ็กเกจ</t>
        </is>
      </c>
      <c r="G55" s="25" t="inlineStr">
        <is>
          <t>focus และ aria-selected ย้ายตามปุ่มที่กด · แสดง tabpanel ที่ถูกต้อง</t>
        </is>
      </c>
      <c r="H55" s="25" t="inlineStr">
        <is>
          <t>ผลตรงตามที่คาดหวัง — assertion ผ่านครบ (4.06 วินาที)</t>
        </is>
      </c>
      <c r="I55" s="26" t="inlineStr">
        <is>
          <t>Pass</t>
        </is>
      </c>
      <c r="J55" s="25" t="n"/>
      <c r="K55" s="25" t="n"/>
      <c r="L55" s="25" t="inlineStr">
        <is>
          <t>DEV (127.0.0.1:3317 · next dev) · Chromium (Playwright 1.62) headless · 1280×720 · PostgreSQL 17.10 (nestly_test) · Windows 11</t>
        </is>
      </c>
      <c r="M55" s="25" t="inlineStr">
        <is>
          <t>Playwright 1.62 (อัตโนมัติ)</t>
        </is>
      </c>
      <c r="N55" s="27" t="n">
        <v>46324.79947173611</v>
      </c>
      <c r="O55" s="28" t="inlineStr">
        <is>
          <t>evidence-ui/TC_UI_OWNER_001.png</t>
        </is>
      </c>
      <c r="P55" s="25" t="inlineStr">
        <is>
          <t>ผลจากรอบที่ 1 — รันทั้งชุด
สคริปต์: tests/e2e/tenant-owner-journeys.spec.ts
ชื่อเทสต์: owner journey › navigates room and settings tabs with the keyboard</t>
        </is>
      </c>
    </row>
    <row r="56" ht="165" customHeight="1">
      <c r="A56" s="24" t="inlineStr">
        <is>
          <t>TC_UI_OWNER_002</t>
        </is>
      </c>
      <c r="B56" s="25" t="inlineStr">
        <is>
          <t>Owner Journey</t>
        </is>
      </c>
      <c r="C56" s="25" t="inlineStr">
        <is>
          <t>หน้าต่างแก้ไขผู้เช่าเข้าถึงได้ และกันข้อมูลที่แก้แล้วหายโดยไม่ตั้งใจ</t>
        </is>
      </c>
      <c r="D56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56" s="25" t="inlineStr">
        <is>
          <t>1. เปิดเมนูผู้เช่า → ผู้เช่าปัจจุบัน → E2E Tenant E101
2. แก้ชื่อ
3. กดยกเลิก → เลือกแก้ต่อ
4. กดยกเลิกอีกครั้ง → ทิ้งข้อมูล</t>
        </is>
      </c>
      <c r="F56" s="25" t="inlineStr">
        <is>
          <t>ชื่อใหม่ = "E2E Tenant changed"</t>
        </is>
      </c>
      <c r="G56" s="25" t="inlineStr">
        <is>
          <t>dialog เป็น aria-modal และ focus อยู่ที่ปุ่มปิด · กดยกเลิกแล้วถาม "ทิ้งข้อมูลที่แก้ไข?" · เลือกแก้ต่อแล้ว dialog ยังอยู่</t>
        </is>
      </c>
      <c r="H56" s="25" t="inlineStr">
        <is>
          <t>ผลตรงตามที่คาดหวัง — assertion ผ่านครบ (5.04 วินาที)</t>
        </is>
      </c>
      <c r="I56" s="26" t="inlineStr">
        <is>
          <t>Pass</t>
        </is>
      </c>
      <c r="J56" s="25" t="n"/>
      <c r="K56" s="25" t="n"/>
      <c r="L56" s="25" t="inlineStr">
        <is>
          <t>DEV (127.0.0.1:3317 · next dev) · Chromium (Playwright 1.62) headless · 1280×720 · PostgreSQL 17.10 (nestly_test) · Windows 11</t>
        </is>
      </c>
      <c r="M56" s="25" t="inlineStr">
        <is>
          <t>Playwright 1.62 (อัตโนมัติ)</t>
        </is>
      </c>
      <c r="N56" s="27" t="n">
        <v>46324.79951876157</v>
      </c>
      <c r="O56" s="28" t="inlineStr">
        <is>
          <t>evidence-ui/TC_UI_OWNER_002.png</t>
        </is>
      </c>
      <c r="P56" s="25" t="inlineStr">
        <is>
          <t>ผลจากรอบที่ 1 — รันทั้งชุด
สคริปต์: tests/e2e/tenant-owner-journeys.spec.ts
ชื่อเทสต์: owner journey › tenant editor is accessible and protects unsaved changes</t>
        </is>
      </c>
    </row>
    <row r="57" ht="165" customHeight="1">
      <c r="A57" s="24" t="inlineStr">
        <is>
          <t>TC_UI_OWNER_003</t>
        </is>
      </c>
      <c r="B57" s="25" t="inlineStr">
        <is>
          <t>Owner Journey</t>
        </is>
      </c>
      <c r="C57" s="25" t="inlineStr">
        <is>
          <t>เจ้าของหออนุมัติคำขอเข้าพักและดูการชำระเงินในหอของตัวเอง</t>
        </is>
      </c>
      <c r="D57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e2e-owner@example.test</t>
        </is>
      </c>
      <c r="E57" s="25" t="inlineStr">
        <is>
          <t>1. เปิดผู้เช่า → คำขอเข้าพัก → อนุมัติ E2E Pending Tenant
2. ค้นหาผู้เช่าปัจจุบัน
3. เปิดสัญญาเช่า และบิลและการเงิน → ตรวจสอบการชำระ</t>
        </is>
      </c>
      <c r="F57" s="25" t="inlineStr">
        <is>
          <t>ผู้เช่า E2E Pending Tenant · บิล E2E-202607-E101</t>
        </is>
      </c>
      <c r="G57" s="25" t="inlineStr">
        <is>
          <t>อนุมัติสำเร็จ · พบ E2E Tenant E101 · เห็นบิล E2E-202607-E101 พร้อมปุ่ม "ยืนยันรับชำระ"</t>
        </is>
      </c>
      <c r="H57" s="25" t="inlineStr">
        <is>
          <t>ผลตรงตามที่คาดหวัง — assertion ผ่านครบ (8.70 วินาที)</t>
        </is>
      </c>
      <c r="I57" s="26" t="inlineStr">
        <is>
          <t>Pass</t>
        </is>
      </c>
      <c r="J57" s="25" t="n"/>
      <c r="K57" s="25" t="n"/>
      <c r="L57" s="25" t="inlineStr">
        <is>
          <t>DEV (127.0.0.1:3317 · next dev) · Chromium (Playwright 1.62) headless · 1280×720 · PostgreSQL 17.10 (nestly_test) · Windows 11</t>
        </is>
      </c>
      <c r="M57" s="25" t="inlineStr">
        <is>
          <t>Playwright 1.62 (อัตโนมัติ)</t>
        </is>
      </c>
      <c r="N57" s="27" t="n">
        <v>46324.79957712963</v>
      </c>
      <c r="O57" s="28" t="inlineStr">
        <is>
          <t>evidence-ui/TC_UI_OWNER_003.png</t>
        </is>
      </c>
      <c r="P57" s="25" t="inlineStr">
        <is>
          <t>ผลจากรอบที่ 1 — รันทั้งชุด
สคริปต์: tests/e2e/tenant-owner-journeys.spec.ts
ชื่อเทสต์: owner journey › reviews tenant onboarding and payment operations in the assigned property</t>
        </is>
      </c>
    </row>
    <row r="58" ht="165" customHeight="1">
      <c r="A58" s="24" t="inlineStr">
        <is>
          <t>TC_UI_TENANT_001</t>
        </is>
      </c>
      <c r="B58" s="25" t="inlineStr">
        <is>
          <t>Tenant Journey</t>
        </is>
      </c>
      <c r="C58" s="25" t="inlineStr">
        <is>
          <t>ผู้เช่าดูห้อง บิล PromptPay สัญญา ประกาศ และพัสดุ</t>
        </is>
      </c>
      <c r="D58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e2e-tenant@example.test</t>
        </is>
      </c>
      <c r="E58" s="25" t="inlineStr">
        <is>
          <t>1. เปิดหน้าแรกผู้เช่า
2. เปิดบิลและชำระเงิน → กดบิล E2E-202607-E101
3. เปิดสัญญา / ประกาศ / พัสดุ</t>
        </is>
      </c>
      <c r="F58" s="25" t="inlineStr">
        <is>
          <t>บิล E2E-202607-E101 · สัญญา CTR-E2E-E101</t>
        </is>
      </c>
      <c r="G58" s="25" t="inlineStr">
        <is>
          <t>มีหัวข้อ "ภาพรวมที่ต้องรู้" · บิลแสดง QR PromptPay · "สัญญาปัจจุบัน" CTR-E2E-E101 · "ประกาศ E2E" · "รอรับพัสดุ"</t>
        </is>
      </c>
      <c r="H58" s="25" t="inlineStr">
        <is>
          <t>ผลตรงตามที่คาดหวัง — assertion ผ่านครบ (9.67 วินาที)</t>
        </is>
      </c>
      <c r="I58" s="26" t="inlineStr">
        <is>
          <t>Pass</t>
        </is>
      </c>
      <c r="J58" s="25" t="n"/>
      <c r="K58" s="25" t="n"/>
      <c r="L58" s="25" t="inlineStr">
        <is>
          <t>DEV (127.0.0.1:3317 · next dev) · Chromium (Playwright 1.62) headless · 1280×720 · PostgreSQL 17.10 (nestly_test) · Windows 11</t>
        </is>
      </c>
      <c r="M58" s="25" t="inlineStr">
        <is>
          <t>Playwright 1.62 (อัตโนมัติ)</t>
        </is>
      </c>
      <c r="N58" s="27" t="n">
        <v>46324.79967787037</v>
      </c>
      <c r="O58" s="28" t="inlineStr">
        <is>
          <t>evidence-ui/TC_UI_TENANT_001.png</t>
        </is>
      </c>
      <c r="P58" s="25" t="inlineStr">
        <is>
          <t>ผลจากรอบที่ 1 — รันทั้งชุด
สคริปต์: tests/e2e/tenant-owner-journeys.spec.ts
ชื่อเทสต์: tenant journey › views room, bill, PromptPay, lease, announcements and parcels</t>
        </is>
      </c>
    </row>
    <row r="59" ht="165" customHeight="1">
      <c r="A59" s="24" t="inlineStr">
        <is>
          <t>TC_UI_TENANT_002</t>
        </is>
      </c>
      <c r="B59" s="25" t="inlineStr">
        <is>
          <t>Tenant Journey</t>
        </is>
      </c>
      <c r="C59" s="25" t="inlineStr">
        <is>
          <t>ผู้เช่าแจ้งซ่อมและส่งข้อความแชทถึงหอพัก</t>
        </is>
      </c>
      <c r="D59" s="25" t="inlineStr">
        <is>
          <t>global-setup ล้างและใส่ข้อมูลทดสอบชุดใหม่ (หอ E2E 2 หอ · ห้อง E101 · ผู้เช่า E2E Tenant · คำขอเข้าพักที่รออนุมัติ) · เข้าสู่ระบบด้วย e2e-tenant@example.test</t>
        </is>
      </c>
      <c r="E59" s="25" t="inlineStr">
        <is>
          <t>1. เมนูแจ้งเรื่อง → กดแจ้งเรื่อง
2. กรอกหัวข้อ รายละเอียด เลือกความเร่งด่วน "ด่วน" → ส่งเรื่อง
3. กดเปิดแชทกับหอพัก → พิมพ์ข้อความ → ส่งข้อความ</t>
        </is>
      </c>
      <c r="F59" s="25" t="inlineStr">
        <is>
          <t>หัวข้อ: "ก๊อกน้ำ E2E รั่ว" · ความเร่งด่วน: ด่วน · ข้อความแชทสุ่มทุกรอบ</t>
        </is>
      </c>
      <c r="G59" s="25" t="inlineStr">
        <is>
          <t>เรื่อง "ก๊อกน้ำ E2E รั่ว" ปรากฏพร้อมป้าย "ด่วน" · ข้อความแชทแสดงในหน้าต่างแชท</t>
        </is>
      </c>
      <c r="H59" s="25" t="inlineStr">
        <is>
          <t xml:space="preserve">ไม่ผ่าน: Error: expect(locator).toBeVisible() failed Locator: getByRole('dialog', { name: 'แชทกับหอพัก' }).getByText('ข้อความ E2E 1793276140216', { exact: true }) Expected: visible Timeout: 5000ms Error: element(s) not found Call log: - Expect "toBeVisible" with timeout 5000ms - waiting for getByRole('dialog', { name: 'แชทกับหอพัก' }).getByText('ข้อความ E2E 1793276140216', { exact: true }) |               </t>
        </is>
      </c>
      <c r="I59" s="26" t="inlineStr">
        <is>
          <t>Fail</t>
        </is>
      </c>
      <c r="J59" s="25" t="n"/>
      <c r="K59" s="25" t="n"/>
      <c r="L59" s="25" t="inlineStr">
        <is>
          <t>DEV (127.0.0.1:3317 · next dev) · Chromium (Playwright 1.62) headless · 1280×720 · PostgreSQL 17.10 (nestly_test) · Windows 11</t>
        </is>
      </c>
      <c r="M59" s="25" t="inlineStr">
        <is>
          <t>Playwright 1.62 (อัตโนมัติ)</t>
        </is>
      </c>
      <c r="N59" s="27" t="n">
        <v>46324.80251629629</v>
      </c>
      <c r="O59" s="28" t="inlineStr">
        <is>
          <t>evidence-ui/TC_UI_TENANT_002.png</t>
        </is>
      </c>
      <c r="P59" s="25" t="inlineStr">
        <is>
          <t>ข้อสังเกต: ไม่ผ่านซ้ำในสภาพแวดล้อมรอบนี้ (next dev --webpack จากสำเนาโค้ด) อาการคือกดปุ่มแล้วหน้าไม่ตอบสนอง ตรงกับการกดก่อนหน้าโหลด JavaScript เสร็จ (hydration) · GitHub Actions CI run #107 บน commit 24a0107 เดียวกันผ่าน · ต้องรันซ้ำด้วย npm run test:e2e ตามปกติก่อนสรุปว่าเป็นบัค
ผลจากรอบที่ 2 — รันซ้ำเฉพาะเคสที่ไม่ผ่าน
สคริปต์: tests/e2e/tenant-owner-journeys.spec.ts
ชื่อเทสต์: tenant journey › creates a repair ticket and sends a chat message</t>
        </is>
      </c>
    </row>
  </sheetData>
  <autoFilter ref="A2:P59"/>
  <mergeCells count="3">
    <mergeCell ref="L1:P1"/>
    <mergeCell ref="H1:K1"/>
    <mergeCell ref="A1:G1"/>
  </mergeCells>
  <conditionalFormatting sqref="I3:I300">
    <cfRule type="expression" priority="1" dxfId="1">
      <formula>$I3="Pass"</formula>
    </cfRule>
    <cfRule type="expression" priority="2" dxfId="0">
      <formula>$I3="Fail"</formula>
    </cfRule>
    <cfRule type="expression" priority="3" dxfId="2">
      <formula>$I3="Block"</formula>
    </cfRule>
    <cfRule type="expression" priority="4" dxfId="3">
      <formula>$I3="Untested"</formula>
    </cfRule>
  </conditionalFormatting>
  <dataValidations count="2">
    <dataValidation sqref="I3:I300" showDropDown="0" showInputMessage="0" showErrorMessage="1" allowBlank="0" errorTitle="Status" error="เลือก Pass / Fail / Block / Untested" type="list">
      <formula1>"Pass,Fail,Block,Untested"</formula1>
    </dataValidation>
    <dataValidation sqref="K3:K300" showDropDown="0" showInputMessage="0" showErrorMessage="0" allowBlank="1" type="list">
      <formula1>"Critical / P1,High / P1,High / P2,Medium / P2,Medium / P3,Low / P3"</formula1>
    </dataValidation>
  </dataValidations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O7" r:id="rId5"/>
    <hyperlink xmlns:r="http://schemas.openxmlformats.org/officeDocument/2006/relationships" ref="O8" r:id="rId6"/>
    <hyperlink xmlns:r="http://schemas.openxmlformats.org/officeDocument/2006/relationships" ref="O9" r:id="rId7"/>
    <hyperlink xmlns:r="http://schemas.openxmlformats.org/officeDocument/2006/relationships" ref="O10" r:id="rId8"/>
    <hyperlink xmlns:r="http://schemas.openxmlformats.org/officeDocument/2006/relationships" ref="O11" r:id="rId9"/>
    <hyperlink xmlns:r="http://schemas.openxmlformats.org/officeDocument/2006/relationships" ref="O12" r:id="rId10"/>
    <hyperlink xmlns:r="http://schemas.openxmlformats.org/officeDocument/2006/relationships" ref="O13" r:id="rId11"/>
    <hyperlink xmlns:r="http://schemas.openxmlformats.org/officeDocument/2006/relationships" ref="O14" r:id="rId12"/>
    <hyperlink xmlns:r="http://schemas.openxmlformats.org/officeDocument/2006/relationships" ref="O15" r:id="rId13"/>
    <hyperlink xmlns:r="http://schemas.openxmlformats.org/officeDocument/2006/relationships" ref="O16" r:id="rId14"/>
    <hyperlink xmlns:r="http://schemas.openxmlformats.org/officeDocument/2006/relationships" ref="O17" r:id="rId15"/>
    <hyperlink xmlns:r="http://schemas.openxmlformats.org/officeDocument/2006/relationships" ref="O18" r:id="rId16"/>
    <hyperlink xmlns:r="http://schemas.openxmlformats.org/officeDocument/2006/relationships" ref="O19" r:id="rId17"/>
    <hyperlink xmlns:r="http://schemas.openxmlformats.org/officeDocument/2006/relationships" ref="O20" r:id="rId18"/>
    <hyperlink xmlns:r="http://schemas.openxmlformats.org/officeDocument/2006/relationships" ref="O21" r:id="rId19"/>
    <hyperlink xmlns:r="http://schemas.openxmlformats.org/officeDocument/2006/relationships" ref="O22" r:id="rId20"/>
    <hyperlink xmlns:r="http://schemas.openxmlformats.org/officeDocument/2006/relationships" ref="O23" r:id="rId21"/>
    <hyperlink xmlns:r="http://schemas.openxmlformats.org/officeDocument/2006/relationships" ref="O24" r:id="rId22"/>
    <hyperlink xmlns:r="http://schemas.openxmlformats.org/officeDocument/2006/relationships" ref="O25" r:id="rId23"/>
    <hyperlink xmlns:r="http://schemas.openxmlformats.org/officeDocument/2006/relationships" ref="O26" r:id="rId24"/>
    <hyperlink xmlns:r="http://schemas.openxmlformats.org/officeDocument/2006/relationships" ref="O27" r:id="rId25"/>
    <hyperlink xmlns:r="http://schemas.openxmlformats.org/officeDocument/2006/relationships" ref="O28" r:id="rId26"/>
    <hyperlink xmlns:r="http://schemas.openxmlformats.org/officeDocument/2006/relationships" ref="O29" r:id="rId27"/>
    <hyperlink xmlns:r="http://schemas.openxmlformats.org/officeDocument/2006/relationships" ref="O30" r:id="rId28"/>
    <hyperlink xmlns:r="http://schemas.openxmlformats.org/officeDocument/2006/relationships" ref="O31" r:id="rId29"/>
    <hyperlink xmlns:r="http://schemas.openxmlformats.org/officeDocument/2006/relationships" ref="O32" r:id="rId30"/>
    <hyperlink xmlns:r="http://schemas.openxmlformats.org/officeDocument/2006/relationships" ref="O33" r:id="rId31"/>
    <hyperlink xmlns:r="http://schemas.openxmlformats.org/officeDocument/2006/relationships" ref="O34" r:id="rId32"/>
    <hyperlink xmlns:r="http://schemas.openxmlformats.org/officeDocument/2006/relationships" ref="O35" r:id="rId33"/>
    <hyperlink xmlns:r="http://schemas.openxmlformats.org/officeDocument/2006/relationships" ref="O36" r:id="rId34"/>
    <hyperlink xmlns:r="http://schemas.openxmlformats.org/officeDocument/2006/relationships" ref="O37" r:id="rId35"/>
    <hyperlink xmlns:r="http://schemas.openxmlformats.org/officeDocument/2006/relationships" ref="O38" r:id="rId36"/>
    <hyperlink xmlns:r="http://schemas.openxmlformats.org/officeDocument/2006/relationships" ref="O39" r:id="rId37"/>
    <hyperlink xmlns:r="http://schemas.openxmlformats.org/officeDocument/2006/relationships" ref="O40" r:id="rId38"/>
    <hyperlink xmlns:r="http://schemas.openxmlformats.org/officeDocument/2006/relationships" ref="O41" r:id="rId39"/>
    <hyperlink xmlns:r="http://schemas.openxmlformats.org/officeDocument/2006/relationships" ref="O42" r:id="rId40"/>
    <hyperlink xmlns:r="http://schemas.openxmlformats.org/officeDocument/2006/relationships" ref="O43" r:id="rId41"/>
    <hyperlink xmlns:r="http://schemas.openxmlformats.org/officeDocument/2006/relationships" ref="O44" r:id="rId42"/>
    <hyperlink xmlns:r="http://schemas.openxmlformats.org/officeDocument/2006/relationships" ref="O45" r:id="rId43"/>
    <hyperlink xmlns:r="http://schemas.openxmlformats.org/officeDocument/2006/relationships" ref="O46" r:id="rId44"/>
    <hyperlink xmlns:r="http://schemas.openxmlformats.org/officeDocument/2006/relationships" ref="O47" r:id="rId45"/>
    <hyperlink xmlns:r="http://schemas.openxmlformats.org/officeDocument/2006/relationships" ref="O48" r:id="rId46"/>
    <hyperlink xmlns:r="http://schemas.openxmlformats.org/officeDocument/2006/relationships" ref="O49" r:id="rId47"/>
    <hyperlink xmlns:r="http://schemas.openxmlformats.org/officeDocument/2006/relationships" ref="O50" r:id="rId48"/>
    <hyperlink xmlns:r="http://schemas.openxmlformats.org/officeDocument/2006/relationships" ref="O51" r:id="rId49"/>
    <hyperlink xmlns:r="http://schemas.openxmlformats.org/officeDocument/2006/relationships" ref="O52" r:id="rId50"/>
    <hyperlink xmlns:r="http://schemas.openxmlformats.org/officeDocument/2006/relationships" ref="O53" r:id="rId51"/>
    <hyperlink xmlns:r="http://schemas.openxmlformats.org/officeDocument/2006/relationships" ref="O54" r:id="rId52"/>
    <hyperlink xmlns:r="http://schemas.openxmlformats.org/officeDocument/2006/relationships" ref="O55" r:id="rId53"/>
    <hyperlink xmlns:r="http://schemas.openxmlformats.org/officeDocument/2006/relationships" ref="O56" r:id="rId54"/>
    <hyperlink xmlns:r="http://schemas.openxmlformats.org/officeDocument/2006/relationships" ref="O57" r:id="rId55"/>
    <hyperlink xmlns:r="http://schemas.openxmlformats.org/officeDocument/2006/relationships" ref="O58" r:id="rId56"/>
    <hyperlink xmlns:r="http://schemas.openxmlformats.org/officeDocument/2006/relationships" ref="O59" r:id="rId57"/>
  </hyperlinks>
  <pageMargins left="0.75" right="0.75" top="1" bottom="1" header="0.5" footer="0.5"/>
  <drawing xmlns:r="http://schemas.openxmlformats.org/officeDocument/2006/relationships" r:id="rId58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29" t="inlineStr">
        <is>
          <t>รายการข้อบกพร่อง (Defect Log) — ออก Defect ID เฉพาะเคสที่วิเคราะห์แล้วว่าเป็นบัคของระบบ</t>
        </is>
      </c>
    </row>
    <row r="2" ht="30" customHeight="1">
      <c r="A2" s="22" t="inlineStr">
        <is>
          <t>Defect ID</t>
        </is>
      </c>
      <c r="B2" s="22" t="inlineStr">
        <is>
          <t>Test Case ID</t>
        </is>
      </c>
      <c r="C2" s="22" t="inlineStr">
        <is>
          <t>Title</t>
        </is>
      </c>
      <c r="D2" s="22" t="inlineStr">
        <is>
          <t>Severity</t>
        </is>
      </c>
      <c r="E2" s="22" t="inlineStr">
        <is>
          <t>Priority</t>
        </is>
      </c>
      <c r="F2" s="22" t="inlineStr">
        <is>
          <t>Steps to Reproduce</t>
        </is>
      </c>
      <c r="G2" s="22" t="inlineStr">
        <is>
          <t>Expected Result</t>
        </is>
      </c>
      <c r="H2" s="22" t="inlineStr">
        <is>
          <t>Actual Result</t>
        </is>
      </c>
      <c r="I2" s="22" t="inlineStr">
        <is>
          <t>ผลกระทบต่อผู้ใช้</t>
        </is>
      </c>
      <c r="J2" s="22" t="inlineStr">
        <is>
          <t>แนวทางแก้ (Suggested Fix)</t>
        </is>
      </c>
      <c r="K2" s="22" t="inlineStr">
        <is>
          <t>ไฟล์ที่เกี่ยวข้อง</t>
        </is>
      </c>
      <c r="L2" s="22" t="inlineStr">
        <is>
          <t>Evidence (ตอนพบบัค)</t>
        </is>
      </c>
      <c r="M2" s="22" t="inlineStr">
        <is>
          <t>Found Date</t>
        </is>
      </c>
      <c r="N2" s="22" t="inlineStr">
        <is>
          <t>Defect Status</t>
        </is>
      </c>
      <c r="O2" s="22" t="inlineStr">
        <is>
          <t>การแก้ไขที่ทำ</t>
        </is>
      </c>
      <c r="P2" s="22" t="inlineStr">
        <is>
          <t>ผลทดสอบซ้ำ (Retest)</t>
        </is>
      </c>
      <c r="Q2" s="22" t="inlineStr">
        <is>
          <t>หลักฐานหลังแก้</t>
        </is>
      </c>
    </row>
    <row r="3">
      <c r="A3" s="30" t="n"/>
      <c r="B3" s="25" t="inlineStr">
        <is>
          <t>TC_UI_BILL_001</t>
        </is>
      </c>
      <c r="C3" s="25" t="inlineStr">
        <is>
          <t>รอบบิลครบวงจรผ่านหน้าจอจริง ตั้งแต่สมัครเจ้าของหอจนรับชำระเงิน</t>
        </is>
      </c>
      <c r="D3" s="30" t="n"/>
      <c r="E3" s="30" t="n"/>
      <c r="F3" s="25" t="inlineStr">
        <is>
          <t>1. สร้างเจ้าของหอใหม่ (PENDING) → Super Admin อนุมัติ
2. เจ้าของหอตั้งรหัสใหม่ → ยอมรับนโยบาย → สลับหอ
3. สร้างคำเชิญ → ผู้เช่าสมัครที่ /register
4. เจ้าของหออนุมัติคำขอเข้าพัก → สร้างสัญญา (มัดจำ 7,000)
5. จดมิเตอร์น้ำและไฟ → สร้างร่างบิล → ออกบิล
6. ผู้เช่าเปิดบิล เห็น QR PromptPay → ส่งสลิป PNG
7. เจ้าของหอตรวจและยืนยันรับชำระ</t>
        </is>
      </c>
      <c r="G3" s="25" t="inlineStr">
        <is>
          <t>สมัครผู้เช่าได้ 201 "สมัครสำเร็จ" · สัญญาเป็นฉบับร่าง · มิเตอร์ "บันทึกแล้ว" · บิลยอด &gt; 3,500 สถานะ "รอชำระ" · สลิป "รอตรวจสอบ" ยอดตรงบิล · ยืนยันแล้วบิลเป็นชำระแล้ว</t>
        </is>
      </c>
      <c r="H3" s="25" t="inlineStr">
        <is>
          <t>ไม่ผ่าน: TimeoutError: locator.click: Timeout 10000ms exceeded. Call log: - waiting for getByRole('menuitem', { name: /JD-1793275969451-d6yxjh/ }) |                                                                          ^ at D:\ปี4_1\it-project\.claude\e2e-run\tests\e2e\full-billing-lifecycle.spec.ts:180:74</t>
        </is>
      </c>
      <c r="I3" s="25" t="inlineStr">
        <is>
          <t>ข้อสังเกต: ไม่ผ่านซ้ำในสภาพแวดล้อมรอบนี้ (next dev --webpack จากสำเนาโค้ด) อาการคือกดปุ่มแล้วหน้าไม่ตอบสนอง ตรงกับการกดก่อนหน้าโหลด JavaScript เสร็จ (hydration) · GitHub Actions CI run #107 บน commit 24a0107 เดียวกันผ่าน · ต้องรันซ้ำด้วย npm run test:e2e ตามปกติก่อนสรุปว่าเป็นบัค</t>
        </is>
      </c>
      <c r="J3" s="30" t="n"/>
      <c r="K3" s="25" t="inlineStr">
        <is>
          <t>tests/e2e/full-billing-lifecycle.spec.ts</t>
        </is>
      </c>
      <c r="L3" s="25" t="inlineStr">
        <is>
          <t>evidence-ui/TC_UI_BILL_001.png</t>
        </is>
      </c>
      <c r="M3" s="31" t="n">
        <v>46324.80057146991</v>
      </c>
      <c r="N3" s="25" t="inlineStr">
        <is>
          <t>รอยืนยัน — ยังไม่ออก Defect ID</t>
        </is>
      </c>
      <c r="O3" s="25" t="n"/>
      <c r="P3" s="25" t="n"/>
      <c r="Q3" s="25" t="n"/>
    </row>
    <row r="4">
      <c r="A4" s="30" t="n"/>
      <c r="B4" s="25" t="inlineStr">
        <is>
          <t>TC_UI_KEY_005</t>
        </is>
      </c>
      <c r="C4" s="25" t="inlineStr">
        <is>
          <t>เมนูและ modal ฝั่งผู้เช่าใช้คีย์บอร์ดได้</t>
        </is>
      </c>
      <c r="D4" s="30" t="n"/>
      <c r="E4" s="30" t="n"/>
      <c r="F4" s="25" t="inlineStr">
        <is>
          <t>1. ใช้ Tab ไปตามเมนูผู้เช่า
2. เปิด modal ด้วย Enter แล้วปิดด้วย Escape</t>
        </is>
      </c>
      <c r="G4" s="25" t="inlineStr">
        <is>
          <t>เปิดทุกเมนูได้ · modal กัก focus และคืน focus หลังปิด</t>
        </is>
      </c>
      <c r="H4" s="25" t="inlineStr">
        <is>
          <t>ไม่ผ่าน: Error: expect(locator).toBeVisible() failed Locator: getByLabel('รายละเอียดบิล E2E-202607-E101', { exact: true }) Expected: visible Timeout: 5000ms Error: element(s) not found Call log: - Expect "toBeVisible" with timeout 5000ms - waiting for getByLabel('รายละเอียดบิล E2E-202607-E101', { exact: true }) |                                  ^ at D:\ปี4_1\it-project\.claude\e2e-run\tests\e2e\keyboard-f</t>
        </is>
      </c>
      <c r="I4" s="25" t="inlineStr">
        <is>
          <t>ข้อสังเกต: ไม่ผ่านซ้ำในสภาพแวดล้อมรอบนี้ (next dev --webpack จากสำเนาโค้ด) อาการคือกดปุ่มแล้วหน้าไม่ตอบสนอง ตรงกับการกดก่อนหน้าโหลด JavaScript เสร็จ (hydration) · GitHub Actions CI run #107 บน commit 24a0107 เดียวกันผ่าน · ต้องรันซ้ำด้วย npm run test:e2e ตามปกติก่อนสรุปว่าเป็นบัค</t>
        </is>
      </c>
      <c r="J4" s="30" t="n"/>
      <c r="K4" s="25" t="inlineStr">
        <is>
          <t>tests/e2e/keyboard-flows.spec.ts</t>
        </is>
      </c>
      <c r="L4" s="25" t="inlineStr">
        <is>
          <t>evidence-ui/TC_UI_KEY_005.png</t>
        </is>
      </c>
      <c r="M4" s="31" t="n">
        <v>46324.80385769676</v>
      </c>
      <c r="N4" s="25" t="inlineStr">
        <is>
          <t>รอยืนยัน — ยังไม่ออก Defect ID</t>
        </is>
      </c>
      <c r="O4" s="25" t="n"/>
      <c r="P4" s="25" t="n"/>
      <c r="Q4" s="25" t="n"/>
    </row>
    <row r="5">
      <c r="A5" s="30" t="n"/>
      <c r="B5" s="25" t="inlineStr">
        <is>
          <t>TC_UI_TENANT_002</t>
        </is>
      </c>
      <c r="C5" s="25" t="inlineStr">
        <is>
          <t>ผู้เช่าแจ้งซ่อมและส่งข้อความแชทถึงหอพัก</t>
        </is>
      </c>
      <c r="D5" s="30" t="n"/>
      <c r="E5" s="30" t="n"/>
      <c r="F5" s="25" t="inlineStr">
        <is>
          <t>1. เมนูแจ้งเรื่อง → กดแจ้งเรื่อง
2. กรอกหัวข้อ รายละเอียด เลือกความเร่งด่วน "ด่วน" → ส่งเรื่อง
3. กดเปิดแชทกับหอพัก → พิมพ์ข้อความ → ส่งข้อความ</t>
        </is>
      </c>
      <c r="G5" s="25" t="inlineStr">
        <is>
          <t>เรื่อง "ก๊อกน้ำ E2E รั่ว" ปรากฏพร้อมป้าย "ด่วน" · ข้อความแชทแสดงในหน้าต่างแชท</t>
        </is>
      </c>
      <c r="H5" s="25" t="inlineStr">
        <is>
          <t xml:space="preserve">ไม่ผ่าน: Error: expect(locator).toBeVisible() failed Locator: getByRole('dialog', { name: 'แชทกับหอพัก' }).getByText('ข้อความ E2E 1793276140216', { exact: true }) Expected: visible Timeout: 5000ms Error: element(s) not found Call log: - Expect "toBeVisible" with timeout 5000ms - waiting for getByRole('dialog', { name: 'แชทกับหอพัก' }).getByText('ข้อความ E2E 1793276140216', { exact: true }) |               </t>
        </is>
      </c>
      <c r="I5" s="25" t="inlineStr">
        <is>
          <t>ข้อสังเกต: ไม่ผ่านซ้ำในสภาพแวดล้อมรอบนี้ (next dev --webpack จากสำเนาโค้ด) อาการคือกดปุ่มแล้วหน้าไม่ตอบสนอง ตรงกับการกดก่อนหน้าโหลด JavaScript เสร็จ (hydration) · GitHub Actions CI run #107 บน commit 24a0107 เดียวกันผ่าน · ต้องรันซ้ำด้วย npm run test:e2e ตามปกติก่อนสรุปว่าเป็นบัค</t>
        </is>
      </c>
      <c r="J5" s="30" t="n"/>
      <c r="K5" s="25" t="inlineStr">
        <is>
          <t>tests/e2e/tenant-owner-journeys.spec.ts</t>
        </is>
      </c>
      <c r="L5" s="25" t="inlineStr">
        <is>
          <t>evidence-ui/TC_UI_TENANT_002.png</t>
        </is>
      </c>
      <c r="M5" s="31" t="n">
        <v>46324.80251629629</v>
      </c>
      <c r="N5" s="25" t="inlineStr">
        <is>
          <t>รอยืนยัน — ยังไม่ออก Defect ID</t>
        </is>
      </c>
      <c r="O5" s="25" t="n"/>
      <c r="P5" s="25" t="n"/>
      <c r="Q5" s="25" t="n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2026-10-29T12:20:52Z</dcterms:created>
  <dcterms:modified xmlns:dcterms="http://purl.org/dc/terms/" xmlns:xsi="http://www.w3.org/2001/XMLSchema-instance" xsi:type="dcterms:W3CDTF">2026-10-29T12:20:53Z</dcterms:modified>
</cp:coreProperties>
</file>