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ผล" sheetId="1" state="visible" r:id="rId1"/>
    <sheet xmlns:r="http://schemas.openxmlformats.org/officeDocument/2006/relationships" name="แผนการทดสอบ" sheetId="2" state="visible" r:id="rId2"/>
    <sheet xmlns:r="http://schemas.openxmlformats.org/officeDocument/2006/relationships" name="กลยุทธ์การทดสอบ" sheetId="3" state="visible" r:id="rId3"/>
    <sheet xmlns:r="http://schemas.openxmlformats.org/officeDocument/2006/relationships" name="Test Cases" sheetId="4" state="visible" r:id="rId4"/>
    <sheet xmlns:r="http://schemas.openxmlformats.org/officeDocument/2006/relationships" name="Defects" sheetId="5" state="visible" r:id="rId5"/>
    <sheet xmlns:r="http://schemas.openxmlformats.org/officeDocument/2006/relationships" name="ช่องว่างการทดสอบ" sheetId="6" state="visible" r:id="rId6"/>
  </sheets>
  <definedNames>
    <definedName name="_xlnm._FilterDatabase" localSheetId="3" hidden="1">'Test Cases'!$A$2:$P$219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%"/>
  </numFmts>
  <fonts count="11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10"/>
    </font>
    <font>
      <name val="Tahoma"/>
      <b val="1"/>
      <color rgb="001F2937"/>
      <sz val="9"/>
    </font>
    <font>
      <name val="Tahoma"/>
      <color rgb="001F2937"/>
      <sz val="9"/>
    </font>
    <font>
      <name val="Tahoma"/>
      <b val="1"/>
      <color rgb="00000099"/>
      <sz val="16"/>
    </font>
    <font>
      <name val="Tahoma"/>
      <color rgb="006B7280"/>
      <sz val="10"/>
    </font>
    <font>
      <name val="Tahoma"/>
      <b val="1"/>
      <color rgb="001F2937"/>
      <sz val="10"/>
    </font>
    <font>
      <name val="Tahoma"/>
      <color rgb="001F2937"/>
      <sz val="10"/>
    </font>
    <font>
      <name val="Tahoma"/>
      <i val="1"/>
      <color rgb="006B7280"/>
      <sz val="9"/>
    </font>
    <font>
      <name val="Tahoma"/>
      <b val="1"/>
      <color rgb="00000099"/>
      <sz val="12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9A3412"/>
      </patternFill>
    </fill>
    <fill>
      <patternFill patternType="solid">
        <fgColor rgb="00065F46"/>
      </patternFill>
    </fill>
    <fill>
      <patternFill patternType="solid">
        <fgColor rgb="00FEF9C3"/>
      </patternFill>
    </fill>
    <fill>
      <patternFill patternType="solid">
        <fgColor rgb="0000009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 vertical="center" wrapText="1"/>
    </xf>
    <xf numFmtId="166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4">
    <dxf>
      <fill>
        <patternFill patternType="solid">
          <fgColor rgb="00FEE2E2"/>
        </patternFill>
      </fill>
    </dxf>
    <dxf>
      <fill>
        <patternFill patternType="solid">
          <fgColor rgb="00DCFCE7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8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0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2" ht="20.4" customHeight="1">
      <c r="B2" s="1" t="inlineStr">
        <is>
          <t>รายงานผลการทดสอบระบบ Nestly (Unit + Integration / API)</t>
        </is>
      </c>
    </row>
    <row r="3">
      <c r="B3" s="2" t="inlineStr">
        <is>
          <t>ตรรกะธุรกิจ การตรวจข้อมูล สิทธิ์ และ route handler ของ API ทดสอบกับ PostgreSQL จริง</t>
        </is>
      </c>
    </row>
    <row r="5">
      <c r="B5" s="3" t="inlineStr">
        <is>
          <t>รอบการทดสอบ</t>
        </is>
      </c>
      <c r="C5" s="4" t="inlineStr">
        <is>
          <t>Unit 2026-10-29 18:46:18 (2 วินาที) · Integration 2026-10-29 18:46:47 (26 วินาที)</t>
        </is>
      </c>
    </row>
    <row r="6">
      <c r="B6" s="3" t="inlineStr">
        <is>
          <t>เครื่องมือ</t>
        </is>
      </c>
      <c r="C6" s="4" t="inlineStr">
        <is>
          <t>Vitest 4.1.11 · Prisma 7.9.1 · PostgreSQL 17.10 (Docker) · Node.js 22.19</t>
        </is>
      </c>
    </row>
    <row r="7">
      <c r="B7" s="3" t="inlineStr">
        <is>
          <t>สภาพแวดล้อม</t>
        </is>
      </c>
      <c r="C7" s="4" t="inlineStr">
        <is>
          <t>Unit: Node.js 22.19 · Vitest 4.1.11 · Windows 11 (ไม่ใช้ฐานข้อมูล)
Integration: DEV (localhost) · PostgreSQL 17.10 ใน Docker (ฐาน nestly_test) · Node.js 22.19 · Windows 11</t>
        </is>
      </c>
    </row>
    <row r="8">
      <c r="B8" s="3" t="inlineStr">
        <is>
          <t>ผู้รับผิดชอบการทดสอบ</t>
        </is>
      </c>
      <c r="C8" s="5" t="inlineStr"/>
    </row>
    <row r="9">
      <c r="B9" s="3" t="inlineStr">
        <is>
          <t>รายงานละเอียด / หลักฐาน</t>
        </is>
      </c>
      <c r="C9" s="4" t="inlineStr">
        <is>
          <t>ผล JSON ของ Vitest อยู่ในโฟลเดอร์ evidence-api/ (unit.json, integration.json)</t>
        </is>
      </c>
    </row>
    <row r="10">
      <c r="B10" s="6" t="inlineStr">
        <is>
          <t>ช่องสีเหลือง = ให้กรอกเอง · ตัวเลขด้านล่างเป็นสูตรที่นับจากชีต Test Cases (แก้คอลัมน์ Status แล้วตัวเลขเปลี่ยนตาม)</t>
        </is>
      </c>
    </row>
    <row r="12">
      <c r="B12" s="7" t="inlineStr">
        <is>
          <t>ภาพรวม</t>
        </is>
      </c>
    </row>
    <row r="13">
      <c r="B13" s="8" t="inlineStr">
        <is>
          <t>ตัวชี้วัด</t>
        </is>
      </c>
      <c r="C13" s="8" t="inlineStr">
        <is>
          <t>ทั้งหมด</t>
        </is>
      </c>
      <c r="D13" s="8" t="inlineStr">
        <is>
          <t>Pass</t>
        </is>
      </c>
      <c r="E13" s="8" t="inlineStr">
        <is>
          <t>Fail</t>
        </is>
      </c>
      <c r="F13" s="8" t="inlineStr">
        <is>
          <t>Block</t>
        </is>
      </c>
      <c r="G13" s="8" t="inlineStr">
        <is>
          <t>Untested</t>
        </is>
      </c>
      <c r="H13" s="8" t="inlineStr">
        <is>
          <t>อัตราผ่าน</t>
        </is>
      </c>
    </row>
    <row r="14" ht="18" customHeight="1">
      <c r="B14" s="9" t="inlineStr">
        <is>
          <t>จำนวนเคส</t>
        </is>
      </c>
      <c r="C14" s="10">
        <f>COUNTA('Test Cases'!$A$3:$A$300)</f>
        <v/>
      </c>
      <c r="D14" s="10">
        <f>COUNTIF('Test Cases'!$I$3:$I$300,"Pass")</f>
        <v/>
      </c>
      <c r="E14" s="10">
        <f>COUNTIF('Test Cases'!$I$3:$I$300,"Fail")</f>
        <v/>
      </c>
      <c r="F14" s="10">
        <f>COUNTIF('Test Cases'!$I$3:$I$300,"Block")</f>
        <v/>
      </c>
      <c r="G14" s="10">
        <f>COUNTIF('Test Cases'!$I$3:$I$300,"Untested")</f>
        <v/>
      </c>
      <c r="H14" s="11">
        <f>IF(C14-G14=0,0,D14/(C14-G14))</f>
        <v/>
      </c>
    </row>
    <row r="15">
      <c r="B15" s="6" t="inlineStr">
        <is>
          <t>อัตราผ่าน = Pass ÷ (ทั้งหมด − Untested)</t>
        </is>
      </c>
    </row>
    <row r="17">
      <c r="B17" s="7" t="inlineStr">
        <is>
          <t>ประวัติการรัน</t>
        </is>
      </c>
    </row>
    <row r="18">
      <c r="B18" s="8" t="inlineStr">
        <is>
          <t>รอบ</t>
        </is>
      </c>
      <c r="C18" s="8" t="inlineStr">
        <is>
          <t>วันเวลา</t>
        </is>
      </c>
      <c r="D18" s="8" t="inlineStr">
        <is>
          <t>ทั้งหมด</t>
        </is>
      </c>
      <c r="E18" s="8" t="inlineStr">
        <is>
          <t>Pass</t>
        </is>
      </c>
      <c r="F18" s="8" t="inlineStr">
        <is>
          <t>Fail</t>
        </is>
      </c>
      <c r="G18" s="8" t="inlineStr">
        <is>
          <t>Block</t>
        </is>
      </c>
      <c r="H18" s="8" t="inlineStr">
        <is>
          <t>อัตราผ่าน</t>
        </is>
      </c>
    </row>
    <row r="19">
      <c r="B19" s="9" t="inlineStr">
        <is>
          <t>รอบที่ 1 — รันเพื่อจัดทำรายงาน</t>
        </is>
      </c>
      <c r="C19" s="10" t="inlineStr">
        <is>
          <t>2026-10-29 18:46</t>
        </is>
      </c>
      <c r="D19" s="10">
        <f>C14</f>
        <v/>
      </c>
      <c r="E19" s="10">
        <f>D14</f>
        <v/>
      </c>
      <c r="F19" s="10">
        <f>E14</f>
        <v/>
      </c>
      <c r="G19" s="10">
        <f>F14</f>
        <v/>
      </c>
      <c r="H19" s="11">
        <f>IF(D19=0,0,E19/D19)</f>
        <v/>
      </c>
    </row>
    <row r="21">
      <c r="B21" s="7" t="inlineStr">
        <is>
          <t>แยกตามระดับการทดสอบ</t>
        </is>
      </c>
    </row>
    <row r="22">
      <c r="B22" s="8" t="inlineStr">
        <is>
          <t>ระดับ</t>
        </is>
      </c>
      <c r="C22" s="8" t="inlineStr">
        <is>
          <t>ทั้งหมด</t>
        </is>
      </c>
      <c r="D22" s="8" t="inlineStr">
        <is>
          <t>Pass</t>
        </is>
      </c>
      <c r="E22" s="8" t="inlineStr">
        <is>
          <t>Fail</t>
        </is>
      </c>
      <c r="F22" s="8" t="inlineStr">
        <is>
          <t>Block</t>
        </is>
      </c>
      <c r="G22" s="8" t="inlineStr">
        <is>
          <t>Untested</t>
        </is>
      </c>
      <c r="H22" s="8" t="inlineStr">
        <is>
          <t>อัตราผ่าน</t>
        </is>
      </c>
    </row>
    <row r="23" ht="18" customHeight="1">
      <c r="B23" s="9" t="inlineStr">
        <is>
          <t>Unit test (Vitest)</t>
        </is>
      </c>
      <c r="C23" s="10">
        <f>COUNTIF('Test Cases'!$A$3:$A$300,"TC_UNIT_*")</f>
        <v/>
      </c>
      <c r="D23" s="10">
        <f>COUNTIFS('Test Cases'!$A$3:$A$300,"TC_UNIT_*",'Test Cases'!$I$3:$I$300,"Pass")</f>
        <v/>
      </c>
      <c r="E23" s="10">
        <f>COUNTIFS('Test Cases'!$A$3:$A$300,"TC_UNIT_*",'Test Cases'!$I$3:$I$300,"Fail")</f>
        <v/>
      </c>
      <c r="F23" s="10">
        <f>COUNTIFS('Test Cases'!$A$3:$A$300,"TC_UNIT_*",'Test Cases'!$I$3:$I$300,"Block")</f>
        <v/>
      </c>
      <c r="G23" s="10">
        <f>COUNTIFS('Test Cases'!$A$3:$A$300,"TC_UNIT_*",'Test Cases'!$I$3:$I$300,"Untested")</f>
        <v/>
      </c>
      <c r="H23" s="11">
        <f>IF(C23-G23=0,0,D23/(C23-G23))</f>
        <v/>
      </c>
    </row>
    <row r="24" ht="18" customHeight="1">
      <c r="B24" s="9" t="inlineStr">
        <is>
          <t>Integration test (Vitest + PostgreSQL)</t>
        </is>
      </c>
      <c r="C24" s="10">
        <f>COUNTIF('Test Cases'!$A$3:$A$300,"TC_INT_*")</f>
        <v/>
      </c>
      <c r="D24" s="10">
        <f>COUNTIFS('Test Cases'!$A$3:$A$300,"TC_INT_*",'Test Cases'!$I$3:$I$300,"Pass")</f>
        <v/>
      </c>
      <c r="E24" s="10">
        <f>COUNTIFS('Test Cases'!$A$3:$A$300,"TC_INT_*",'Test Cases'!$I$3:$I$300,"Fail")</f>
        <v/>
      </c>
      <c r="F24" s="10">
        <f>COUNTIFS('Test Cases'!$A$3:$A$300,"TC_INT_*",'Test Cases'!$I$3:$I$300,"Block")</f>
        <v/>
      </c>
      <c r="G24" s="10">
        <f>COUNTIFS('Test Cases'!$A$3:$A$300,"TC_INT_*",'Test Cases'!$I$3:$I$300,"Untested")</f>
        <v/>
      </c>
      <c r="H24" s="11">
        <f>IF(C24-G24=0,0,D24/(C24-G24))</f>
        <v/>
      </c>
    </row>
    <row r="26">
      <c r="B26" s="7" t="inlineStr">
        <is>
          <t>แยกตามส่วนของระบบ / โมดูล</t>
        </is>
      </c>
    </row>
    <row r="27">
      <c r="B27" s="8" t="inlineStr">
        <is>
          <t>Module / Feature</t>
        </is>
      </c>
      <c r="C27" s="8" t="inlineStr">
        <is>
          <t>ทั้งหมด</t>
        </is>
      </c>
      <c r="D27" s="8" t="inlineStr">
        <is>
          <t>Pass</t>
        </is>
      </c>
      <c r="E27" s="8" t="inlineStr">
        <is>
          <t>Fail</t>
        </is>
      </c>
      <c r="F27" s="8" t="inlineStr">
        <is>
          <t>Block</t>
        </is>
      </c>
      <c r="G27" s="8" t="inlineStr">
        <is>
          <t>Untested</t>
        </is>
      </c>
      <c r="H27" s="8" t="inlineStr">
        <is>
          <t>อัตราผ่าน</t>
        </is>
      </c>
    </row>
    <row r="28" ht="18" customHeight="1">
      <c r="B28" s="9" t="inlineStr">
        <is>
          <t>Client Error Handling</t>
        </is>
      </c>
      <c r="C28" s="10">
        <f>COUNTIF('Test Cases'!$B$3:$B$300,$B28)</f>
        <v/>
      </c>
      <c r="D28" s="10">
        <f>COUNTIFS('Test Cases'!$B$3:$B$300,$B28,'Test Cases'!$I$3:$I$300,"Pass")</f>
        <v/>
      </c>
      <c r="E28" s="10">
        <f>COUNTIFS('Test Cases'!$B$3:$B$300,$B28,'Test Cases'!$I$3:$I$300,"Fail")</f>
        <v/>
      </c>
      <c r="F28" s="10">
        <f>COUNTIFS('Test Cases'!$B$3:$B$300,$B28,'Test Cases'!$I$3:$I$300,"Block")</f>
        <v/>
      </c>
      <c r="G28" s="10">
        <f>COUNTIFS('Test Cases'!$B$3:$B$300,$B28,'Test Cases'!$I$3:$I$300,"Untested")</f>
        <v/>
      </c>
      <c r="H28" s="11">
        <f>IF(C28-G28=0,0,D28/(C28-G28))</f>
        <v/>
      </c>
    </row>
    <row r="29" ht="18" customHeight="1">
      <c r="B29" s="9" t="inlineStr">
        <is>
          <t>Subscription UI State</t>
        </is>
      </c>
      <c r="C29" s="10">
        <f>COUNTIF('Test Cases'!$B$3:$B$300,$B29)</f>
        <v/>
      </c>
      <c r="D29" s="10">
        <f>COUNTIFS('Test Cases'!$B$3:$B$300,$B29,'Test Cases'!$I$3:$I$300,"Pass")</f>
        <v/>
      </c>
      <c r="E29" s="10">
        <f>COUNTIFS('Test Cases'!$B$3:$B$300,$B29,'Test Cases'!$I$3:$I$300,"Fail")</f>
        <v/>
      </c>
      <c r="F29" s="10">
        <f>COUNTIFS('Test Cases'!$B$3:$B$300,$B29,'Test Cases'!$I$3:$I$300,"Block")</f>
        <v/>
      </c>
      <c r="G29" s="10">
        <f>COUNTIFS('Test Cases'!$B$3:$B$300,$B29,'Test Cases'!$I$3:$I$300,"Untested")</f>
        <v/>
      </c>
      <c r="H29" s="11">
        <f>IF(C29-G29=0,0,D29/(C29-G29))</f>
        <v/>
      </c>
    </row>
    <row r="30" ht="18" customHeight="1">
      <c r="B30" s="9" t="inlineStr">
        <is>
          <t>CSV Export</t>
        </is>
      </c>
      <c r="C30" s="10">
        <f>COUNTIF('Test Cases'!$B$3:$B$300,$B30)</f>
        <v/>
      </c>
      <c r="D30" s="10">
        <f>COUNTIFS('Test Cases'!$B$3:$B$300,$B30,'Test Cases'!$I$3:$I$300,"Pass")</f>
        <v/>
      </c>
      <c r="E30" s="10">
        <f>COUNTIFS('Test Cases'!$B$3:$B$300,$B30,'Test Cases'!$I$3:$I$300,"Fail")</f>
        <v/>
      </c>
      <c r="F30" s="10">
        <f>COUNTIFS('Test Cases'!$B$3:$B$300,$B30,'Test Cases'!$I$3:$I$300,"Block")</f>
        <v/>
      </c>
      <c r="G30" s="10">
        <f>COUNTIFS('Test Cases'!$B$3:$B$300,$B30,'Test Cases'!$I$3:$I$300,"Untested")</f>
        <v/>
      </c>
      <c r="H30" s="11">
        <f>IF(C30-G30=0,0,D30/(C30-G30))</f>
        <v/>
      </c>
    </row>
    <row r="31" ht="18" customHeight="1">
      <c r="B31" s="9" t="inlineStr">
        <is>
          <t>PDF Generation</t>
        </is>
      </c>
      <c r="C31" s="10">
        <f>COUNTIF('Test Cases'!$B$3:$B$300,$B31)</f>
        <v/>
      </c>
      <c r="D31" s="10">
        <f>COUNTIFS('Test Cases'!$B$3:$B$300,$B31,'Test Cases'!$I$3:$I$300,"Pass")</f>
        <v/>
      </c>
      <c r="E31" s="10">
        <f>COUNTIFS('Test Cases'!$B$3:$B$300,$B31,'Test Cases'!$I$3:$I$300,"Fail")</f>
        <v/>
      </c>
      <c r="F31" s="10">
        <f>COUNTIFS('Test Cases'!$B$3:$B$300,$B31,'Test Cases'!$I$3:$I$300,"Block")</f>
        <v/>
      </c>
      <c r="G31" s="10">
        <f>COUNTIFS('Test Cases'!$B$3:$B$300,$B31,'Test Cases'!$I$3:$I$300,"Untested")</f>
        <v/>
      </c>
      <c r="H31" s="11">
        <f>IF(C31-G31=0,0,D31/(C31-G31))</f>
        <v/>
      </c>
    </row>
    <row r="32" ht="18" customHeight="1">
      <c r="B32" s="9" t="inlineStr">
        <is>
          <t>File Storage (S3)</t>
        </is>
      </c>
      <c r="C32" s="10">
        <f>COUNTIF('Test Cases'!$B$3:$B$300,$B32)</f>
        <v/>
      </c>
      <c r="D32" s="10">
        <f>COUNTIFS('Test Cases'!$B$3:$B$300,$B32,'Test Cases'!$I$3:$I$300,"Pass")</f>
        <v/>
      </c>
      <c r="E32" s="10">
        <f>COUNTIFS('Test Cases'!$B$3:$B$300,$B32,'Test Cases'!$I$3:$I$300,"Fail")</f>
        <v/>
      </c>
      <c r="F32" s="10">
        <f>COUNTIFS('Test Cases'!$B$3:$B$300,$B32,'Test Cases'!$I$3:$I$300,"Block")</f>
        <v/>
      </c>
      <c r="G32" s="10">
        <f>COUNTIFS('Test Cases'!$B$3:$B$300,$B32,'Test Cases'!$I$3:$I$300,"Untested")</f>
        <v/>
      </c>
      <c r="H32" s="11">
        <f>IF(C32-G32=0,0,D32/(C32-G32))</f>
        <v/>
      </c>
    </row>
    <row r="33" ht="18" customHeight="1">
      <c r="B33" s="9" t="inlineStr">
        <is>
          <t>Document Templates</t>
        </is>
      </c>
      <c r="C33" s="10">
        <f>COUNTIF('Test Cases'!$B$3:$B$300,$B33)</f>
        <v/>
      </c>
      <c r="D33" s="10">
        <f>COUNTIFS('Test Cases'!$B$3:$B$300,$B33,'Test Cases'!$I$3:$I$300,"Pass")</f>
        <v/>
      </c>
      <c r="E33" s="10">
        <f>COUNTIFS('Test Cases'!$B$3:$B$300,$B33,'Test Cases'!$I$3:$I$300,"Fail")</f>
        <v/>
      </c>
      <c r="F33" s="10">
        <f>COUNTIFS('Test Cases'!$B$3:$B$300,$B33,'Test Cases'!$I$3:$I$300,"Block")</f>
        <v/>
      </c>
      <c r="G33" s="10">
        <f>COUNTIFS('Test Cases'!$B$3:$B$300,$B33,'Test Cases'!$I$3:$I$300,"Untested")</f>
        <v/>
      </c>
      <c r="H33" s="11">
        <f>IF(C33-G33=0,0,D33/(C33-G33))</f>
        <v/>
      </c>
    </row>
    <row r="34" ht="18" customHeight="1">
      <c r="B34" s="9" t="inlineStr">
        <is>
          <t>Account Approval</t>
        </is>
      </c>
      <c r="C34" s="10">
        <f>COUNTIF('Test Cases'!$B$3:$B$300,$B34)</f>
        <v/>
      </c>
      <c r="D34" s="10">
        <f>COUNTIFS('Test Cases'!$B$3:$B$300,$B34,'Test Cases'!$I$3:$I$300,"Pass")</f>
        <v/>
      </c>
      <c r="E34" s="10">
        <f>COUNTIFS('Test Cases'!$B$3:$B$300,$B34,'Test Cases'!$I$3:$I$300,"Fail")</f>
        <v/>
      </c>
      <c r="F34" s="10">
        <f>COUNTIFS('Test Cases'!$B$3:$B$300,$B34,'Test Cases'!$I$3:$I$300,"Block")</f>
        <v/>
      </c>
      <c r="G34" s="10">
        <f>COUNTIFS('Test Cases'!$B$3:$B$300,$B34,'Test Cases'!$I$3:$I$300,"Untested")</f>
        <v/>
      </c>
      <c r="H34" s="11">
        <f>IF(C34-G34=0,0,D34/(C34-G34))</f>
        <v/>
      </c>
    </row>
    <row r="35" ht="18" customHeight="1">
      <c r="B35" s="9" t="inlineStr">
        <is>
          <t>Billing</t>
        </is>
      </c>
      <c r="C35" s="10">
        <f>COUNTIF('Test Cases'!$B$3:$B$300,$B35)</f>
        <v/>
      </c>
      <c r="D35" s="10">
        <f>COUNTIFS('Test Cases'!$B$3:$B$300,$B35,'Test Cases'!$I$3:$I$300,"Pass")</f>
        <v/>
      </c>
      <c r="E35" s="10">
        <f>COUNTIFS('Test Cases'!$B$3:$B$300,$B35,'Test Cases'!$I$3:$I$300,"Fail")</f>
        <v/>
      </c>
      <c r="F35" s="10">
        <f>COUNTIFS('Test Cases'!$B$3:$B$300,$B35,'Test Cases'!$I$3:$I$300,"Block")</f>
        <v/>
      </c>
      <c r="G35" s="10">
        <f>COUNTIFS('Test Cases'!$B$3:$B$300,$B35,'Test Cases'!$I$3:$I$300,"Untested")</f>
        <v/>
      </c>
      <c r="H35" s="11">
        <f>IF(C35-G35=0,0,D35/(C35-G35))</f>
        <v/>
      </c>
    </row>
    <row r="36" ht="18" customHeight="1">
      <c r="B36" s="9" t="inlineStr">
        <is>
          <t>Chat</t>
        </is>
      </c>
      <c r="C36" s="10">
        <f>COUNTIF('Test Cases'!$B$3:$B$300,$B36)</f>
        <v/>
      </c>
      <c r="D36" s="10">
        <f>COUNTIFS('Test Cases'!$B$3:$B$300,$B36,'Test Cases'!$I$3:$I$300,"Pass")</f>
        <v/>
      </c>
      <c r="E36" s="10">
        <f>COUNTIFS('Test Cases'!$B$3:$B$300,$B36,'Test Cases'!$I$3:$I$300,"Fail")</f>
        <v/>
      </c>
      <c r="F36" s="10">
        <f>COUNTIFS('Test Cases'!$B$3:$B$300,$B36,'Test Cases'!$I$3:$I$300,"Block")</f>
        <v/>
      </c>
      <c r="G36" s="10">
        <f>COUNTIFS('Test Cases'!$B$3:$B$300,$B36,'Test Cases'!$I$3:$I$300,"Untested")</f>
        <v/>
      </c>
      <c r="H36" s="11">
        <f>IF(C36-G36=0,0,D36/(C36-G36))</f>
        <v/>
      </c>
    </row>
    <row r="37" ht="18" customHeight="1">
      <c r="B37" s="9" t="inlineStr">
        <is>
          <t>Domain Rules</t>
        </is>
      </c>
      <c r="C37" s="10">
        <f>COUNTIF('Test Cases'!$B$3:$B$300,$B37)</f>
        <v/>
      </c>
      <c r="D37" s="10">
        <f>COUNTIFS('Test Cases'!$B$3:$B$300,$B37,'Test Cases'!$I$3:$I$300,"Pass")</f>
        <v/>
      </c>
      <c r="E37" s="10">
        <f>COUNTIFS('Test Cases'!$B$3:$B$300,$B37,'Test Cases'!$I$3:$I$300,"Fail")</f>
        <v/>
      </c>
      <c r="F37" s="10">
        <f>COUNTIFS('Test Cases'!$B$3:$B$300,$B37,'Test Cases'!$I$3:$I$300,"Block")</f>
        <v/>
      </c>
      <c r="G37" s="10">
        <f>COUNTIFS('Test Cases'!$B$3:$B$300,$B37,'Test Cases'!$I$3:$I$300,"Untested")</f>
        <v/>
      </c>
      <c r="H37" s="11">
        <f>IF(C37-G37=0,0,D37/(C37-G37))</f>
        <v/>
      </c>
    </row>
    <row r="38" ht="18" customHeight="1">
      <c r="B38" s="9" t="inlineStr">
        <is>
          <t>Lease</t>
        </is>
      </c>
      <c r="C38" s="10">
        <f>COUNTIF('Test Cases'!$B$3:$B$300,$B38)</f>
        <v/>
      </c>
      <c r="D38" s="10">
        <f>COUNTIFS('Test Cases'!$B$3:$B$300,$B38,'Test Cases'!$I$3:$I$300,"Pass")</f>
        <v/>
      </c>
      <c r="E38" s="10">
        <f>COUNTIFS('Test Cases'!$B$3:$B$300,$B38,'Test Cases'!$I$3:$I$300,"Fail")</f>
        <v/>
      </c>
      <c r="F38" s="10">
        <f>COUNTIFS('Test Cases'!$B$3:$B$300,$B38,'Test Cases'!$I$3:$I$300,"Block")</f>
        <v/>
      </c>
      <c r="G38" s="10">
        <f>COUNTIFS('Test Cases'!$B$3:$B$300,$B38,'Test Cases'!$I$3:$I$300,"Untested")</f>
        <v/>
      </c>
      <c r="H38" s="11">
        <f>IF(C38-G38=0,0,D38/(C38-G38))</f>
        <v/>
      </c>
    </row>
    <row r="39" ht="18" customHeight="1">
      <c r="B39" s="9" t="inlineStr">
        <is>
          <t>Occupancy</t>
        </is>
      </c>
      <c r="C39" s="10">
        <f>COUNTIF('Test Cases'!$B$3:$B$300,$B39)</f>
        <v/>
      </c>
      <c r="D39" s="10">
        <f>COUNTIFS('Test Cases'!$B$3:$B$300,$B39,'Test Cases'!$I$3:$I$300,"Pass")</f>
        <v/>
      </c>
      <c r="E39" s="10">
        <f>COUNTIFS('Test Cases'!$B$3:$B$300,$B39,'Test Cases'!$I$3:$I$300,"Fail")</f>
        <v/>
      </c>
      <c r="F39" s="10">
        <f>COUNTIFS('Test Cases'!$B$3:$B$300,$B39,'Test Cases'!$I$3:$I$300,"Block")</f>
        <v/>
      </c>
      <c r="G39" s="10">
        <f>COUNTIFS('Test Cases'!$B$3:$B$300,$B39,'Test Cases'!$I$3:$I$300,"Untested")</f>
        <v/>
      </c>
      <c r="H39" s="11">
        <f>IF(C39-G39=0,0,D39/(C39-G39))</f>
        <v/>
      </c>
    </row>
    <row r="40" ht="18" customHeight="1">
      <c r="B40" s="9" t="inlineStr">
        <is>
          <t>Payments</t>
        </is>
      </c>
      <c r="C40" s="10">
        <f>COUNTIF('Test Cases'!$B$3:$B$300,$B40)</f>
        <v/>
      </c>
      <c r="D40" s="10">
        <f>COUNTIFS('Test Cases'!$B$3:$B$300,$B40,'Test Cases'!$I$3:$I$300,"Pass")</f>
        <v/>
      </c>
      <c r="E40" s="10">
        <f>COUNTIFS('Test Cases'!$B$3:$B$300,$B40,'Test Cases'!$I$3:$I$300,"Fail")</f>
        <v/>
      </c>
      <c r="F40" s="10">
        <f>COUNTIFS('Test Cases'!$B$3:$B$300,$B40,'Test Cases'!$I$3:$I$300,"Block")</f>
        <v/>
      </c>
      <c r="G40" s="10">
        <f>COUNTIFS('Test Cases'!$B$3:$B$300,$B40,'Test Cases'!$I$3:$I$300,"Untested")</f>
        <v/>
      </c>
      <c r="H40" s="11">
        <f>IF(C40-G40=0,0,D40/(C40-G40))</f>
        <v/>
      </c>
    </row>
    <row r="41" ht="18" customHeight="1">
      <c r="B41" s="9" t="inlineStr">
        <is>
          <t>Property Settings</t>
        </is>
      </c>
      <c r="C41" s="10">
        <f>COUNTIF('Test Cases'!$B$3:$B$300,$B41)</f>
        <v/>
      </c>
      <c r="D41" s="10">
        <f>COUNTIFS('Test Cases'!$B$3:$B$300,$B41,'Test Cases'!$I$3:$I$300,"Pass")</f>
        <v/>
      </c>
      <c r="E41" s="10">
        <f>COUNTIFS('Test Cases'!$B$3:$B$300,$B41,'Test Cases'!$I$3:$I$300,"Fail")</f>
        <v/>
      </c>
      <c r="F41" s="10">
        <f>COUNTIFS('Test Cases'!$B$3:$B$300,$B41,'Test Cases'!$I$3:$I$300,"Block")</f>
        <v/>
      </c>
      <c r="G41" s="10">
        <f>COUNTIFS('Test Cases'!$B$3:$B$300,$B41,'Test Cases'!$I$3:$I$300,"Untested")</f>
        <v/>
      </c>
      <c r="H41" s="11">
        <f>IF(C41-G41=0,0,D41/(C41-G41))</f>
        <v/>
      </c>
    </row>
    <row r="42" ht="18" customHeight="1">
      <c r="B42" s="9" t="inlineStr">
        <is>
          <t>Property Membership</t>
        </is>
      </c>
      <c r="C42" s="10">
        <f>COUNTIF('Test Cases'!$B$3:$B$300,$B42)</f>
        <v/>
      </c>
      <c r="D42" s="10">
        <f>COUNTIFS('Test Cases'!$B$3:$B$300,$B42,'Test Cases'!$I$3:$I$300,"Pass")</f>
        <v/>
      </c>
      <c r="E42" s="10">
        <f>COUNTIFS('Test Cases'!$B$3:$B$300,$B42,'Test Cases'!$I$3:$I$300,"Fail")</f>
        <v/>
      </c>
      <c r="F42" s="10">
        <f>COUNTIFS('Test Cases'!$B$3:$B$300,$B42,'Test Cases'!$I$3:$I$300,"Block")</f>
        <v/>
      </c>
      <c r="G42" s="10">
        <f>COUNTIFS('Test Cases'!$B$3:$B$300,$B42,'Test Cases'!$I$3:$I$300,"Untested")</f>
        <v/>
      </c>
      <c r="H42" s="11">
        <f>IF(C42-G42=0,0,D42/(C42-G42))</f>
        <v/>
      </c>
    </row>
    <row r="43" ht="18" customHeight="1">
      <c r="B43" s="9" t="inlineStr">
        <is>
          <t>Announcements</t>
        </is>
      </c>
      <c r="C43" s="10">
        <f>COUNTIF('Test Cases'!$B$3:$B$300,$B43)</f>
        <v/>
      </c>
      <c r="D43" s="10">
        <f>COUNTIFS('Test Cases'!$B$3:$B$300,$B43,'Test Cases'!$I$3:$I$300,"Pass")</f>
        <v/>
      </c>
      <c r="E43" s="10">
        <f>COUNTIFS('Test Cases'!$B$3:$B$300,$B43,'Test Cases'!$I$3:$I$300,"Fail")</f>
        <v/>
      </c>
      <c r="F43" s="10">
        <f>COUNTIFS('Test Cases'!$B$3:$B$300,$B43,'Test Cases'!$I$3:$I$300,"Block")</f>
        <v/>
      </c>
      <c r="G43" s="10">
        <f>COUNTIFS('Test Cases'!$B$3:$B$300,$B43,'Test Cases'!$I$3:$I$300,"Untested")</f>
        <v/>
      </c>
      <c r="H43" s="11">
        <f>IF(C43-G43=0,0,D43/(C43-G43))</f>
        <v/>
      </c>
    </row>
    <row r="44" ht="18" customHeight="1">
      <c r="B44" s="9" t="inlineStr">
        <is>
          <t>Tickets</t>
        </is>
      </c>
      <c r="C44" s="10">
        <f>COUNTIF('Test Cases'!$B$3:$B$300,$B44)</f>
        <v/>
      </c>
      <c r="D44" s="10">
        <f>COUNTIFS('Test Cases'!$B$3:$B$300,$B44,'Test Cases'!$I$3:$I$300,"Pass")</f>
        <v/>
      </c>
      <c r="E44" s="10">
        <f>COUNTIFS('Test Cases'!$B$3:$B$300,$B44,'Test Cases'!$I$3:$I$300,"Fail")</f>
        <v/>
      </c>
      <c r="F44" s="10">
        <f>COUNTIFS('Test Cases'!$B$3:$B$300,$B44,'Test Cases'!$I$3:$I$300,"Block")</f>
        <v/>
      </c>
      <c r="G44" s="10">
        <f>COUNTIFS('Test Cases'!$B$3:$B$300,$B44,'Test Cases'!$I$3:$I$300,"Untested")</f>
        <v/>
      </c>
      <c r="H44" s="11">
        <f>IF(C44-G44=0,0,D44/(C44-G44))</f>
        <v/>
      </c>
    </row>
    <row r="45" ht="18" customHeight="1">
      <c r="B45" s="9" t="inlineStr">
        <is>
          <t>Property Structure</t>
        </is>
      </c>
      <c r="C45" s="10">
        <f>COUNTIF('Test Cases'!$B$3:$B$300,$B45)</f>
        <v/>
      </c>
      <c r="D45" s="10">
        <f>COUNTIFS('Test Cases'!$B$3:$B$300,$B45,'Test Cases'!$I$3:$I$300,"Pass")</f>
        <v/>
      </c>
      <c r="E45" s="10">
        <f>COUNTIFS('Test Cases'!$B$3:$B$300,$B45,'Test Cases'!$I$3:$I$300,"Fail")</f>
        <v/>
      </c>
      <c r="F45" s="10">
        <f>COUNTIFS('Test Cases'!$B$3:$B$300,$B45,'Test Cases'!$I$3:$I$300,"Block")</f>
        <v/>
      </c>
      <c r="G45" s="10">
        <f>COUNTIFS('Test Cases'!$B$3:$B$300,$B45,'Test Cases'!$I$3:$I$300,"Untested")</f>
        <v/>
      </c>
      <c r="H45" s="11">
        <f>IF(C45-G45=0,0,D45/(C45-G45))</f>
        <v/>
      </c>
    </row>
    <row r="46" ht="18" customHeight="1">
      <c r="B46" s="9" t="inlineStr">
        <is>
          <t>SaaS Plans</t>
        </is>
      </c>
      <c r="C46" s="10">
        <f>COUNTIF('Test Cases'!$B$3:$B$300,$B46)</f>
        <v/>
      </c>
      <c r="D46" s="10">
        <f>COUNTIFS('Test Cases'!$B$3:$B$300,$B46,'Test Cases'!$I$3:$I$300,"Pass")</f>
        <v/>
      </c>
      <c r="E46" s="10">
        <f>COUNTIFS('Test Cases'!$B$3:$B$300,$B46,'Test Cases'!$I$3:$I$300,"Fail")</f>
        <v/>
      </c>
      <c r="F46" s="10">
        <f>COUNTIFS('Test Cases'!$B$3:$B$300,$B46,'Test Cases'!$I$3:$I$300,"Block")</f>
        <v/>
      </c>
      <c r="G46" s="10">
        <f>COUNTIFS('Test Cases'!$B$3:$B$300,$B46,'Test Cases'!$I$3:$I$300,"Untested")</f>
        <v/>
      </c>
      <c r="H46" s="11">
        <f>IF(C46-G46=0,0,D46/(C46-G46))</f>
        <v/>
      </c>
    </row>
    <row r="47" ht="18" customHeight="1">
      <c r="B47" s="9" t="inlineStr">
        <is>
          <t>Tenant Account</t>
        </is>
      </c>
      <c r="C47" s="10">
        <f>COUNTIF('Test Cases'!$B$3:$B$300,$B47)</f>
        <v/>
      </c>
      <c r="D47" s="10">
        <f>COUNTIFS('Test Cases'!$B$3:$B$300,$B47,'Test Cases'!$I$3:$I$300,"Pass")</f>
        <v/>
      </c>
      <c r="E47" s="10">
        <f>COUNTIFS('Test Cases'!$B$3:$B$300,$B47,'Test Cases'!$I$3:$I$300,"Fail")</f>
        <v/>
      </c>
      <c r="F47" s="10">
        <f>COUNTIFS('Test Cases'!$B$3:$B$300,$B47,'Test Cases'!$I$3:$I$300,"Block")</f>
        <v/>
      </c>
      <c r="G47" s="10">
        <f>COUNTIFS('Test Cases'!$B$3:$B$300,$B47,'Test Cases'!$I$3:$I$300,"Untested")</f>
        <v/>
      </c>
      <c r="H47" s="11">
        <f>IF(C47-G47=0,0,D47/(C47-G47))</f>
        <v/>
      </c>
    </row>
    <row r="48" ht="18" customHeight="1">
      <c r="B48" s="9" t="inlineStr">
        <is>
          <t>Tenant Onboarding</t>
        </is>
      </c>
      <c r="C48" s="10">
        <f>COUNTIF('Test Cases'!$B$3:$B$300,$B48)</f>
        <v/>
      </c>
      <c r="D48" s="10">
        <f>COUNTIFS('Test Cases'!$B$3:$B$300,$B48,'Test Cases'!$I$3:$I$300,"Pass")</f>
        <v/>
      </c>
      <c r="E48" s="10">
        <f>COUNTIFS('Test Cases'!$B$3:$B$300,$B48,'Test Cases'!$I$3:$I$300,"Fail")</f>
        <v/>
      </c>
      <c r="F48" s="10">
        <f>COUNTIFS('Test Cases'!$B$3:$B$300,$B48,'Test Cases'!$I$3:$I$300,"Block")</f>
        <v/>
      </c>
      <c r="G48" s="10">
        <f>COUNTIFS('Test Cases'!$B$3:$B$300,$B48,'Test Cases'!$I$3:$I$300,"Untested")</f>
        <v/>
      </c>
      <c r="H48" s="11">
        <f>IF(C48-G48=0,0,D48/(C48-G48))</f>
        <v/>
      </c>
    </row>
    <row r="49" ht="18" customHeight="1">
      <c r="B49" s="9" t="inlineStr">
        <is>
          <t>Legal / PDPA</t>
        </is>
      </c>
      <c r="C49" s="10">
        <f>COUNTIF('Test Cases'!$B$3:$B$300,$B49)</f>
        <v/>
      </c>
      <c r="D49" s="10">
        <f>COUNTIFS('Test Cases'!$B$3:$B$300,$B49,'Test Cases'!$I$3:$I$300,"Pass")</f>
        <v/>
      </c>
      <c r="E49" s="10">
        <f>COUNTIFS('Test Cases'!$B$3:$B$300,$B49,'Test Cases'!$I$3:$I$300,"Fail")</f>
        <v/>
      </c>
      <c r="F49" s="10">
        <f>COUNTIFS('Test Cases'!$B$3:$B$300,$B49,'Test Cases'!$I$3:$I$300,"Block")</f>
        <v/>
      </c>
      <c r="G49" s="10">
        <f>COUNTIFS('Test Cases'!$B$3:$B$300,$B49,'Test Cases'!$I$3:$I$300,"Untested")</f>
        <v/>
      </c>
      <c r="H49" s="11">
        <f>IF(C49-G49=0,0,D49/(C49-G49))</f>
        <v/>
      </c>
    </row>
    <row r="50" ht="18" customHeight="1">
      <c r="B50" s="9" t="inlineStr">
        <is>
          <t>Navigation</t>
        </is>
      </c>
      <c r="C50" s="10">
        <f>COUNTIF('Test Cases'!$B$3:$B$300,$B50)</f>
        <v/>
      </c>
      <c r="D50" s="10">
        <f>COUNTIFS('Test Cases'!$B$3:$B$300,$B50,'Test Cases'!$I$3:$I$300,"Pass")</f>
        <v/>
      </c>
      <c r="E50" s="10">
        <f>COUNTIFS('Test Cases'!$B$3:$B$300,$B50,'Test Cases'!$I$3:$I$300,"Fail")</f>
        <v/>
      </c>
      <c r="F50" s="10">
        <f>COUNTIFS('Test Cases'!$B$3:$B$300,$B50,'Test Cases'!$I$3:$I$300,"Block")</f>
        <v/>
      </c>
      <c r="G50" s="10">
        <f>COUNTIFS('Test Cases'!$B$3:$B$300,$B50,'Test Cases'!$I$3:$I$300,"Untested")</f>
        <v/>
      </c>
      <c r="H50" s="11">
        <f>IF(C50-G50=0,0,D50/(C50-G50))</f>
        <v/>
      </c>
    </row>
    <row r="51" ht="18" customHeight="1">
      <c r="B51" s="9" t="inlineStr">
        <is>
          <t>API Conventions</t>
        </is>
      </c>
      <c r="C51" s="10">
        <f>COUNTIF('Test Cases'!$B$3:$B$300,$B51)</f>
        <v/>
      </c>
      <c r="D51" s="10">
        <f>COUNTIFS('Test Cases'!$B$3:$B$300,$B51,'Test Cases'!$I$3:$I$300,"Pass")</f>
        <v/>
      </c>
      <c r="E51" s="10">
        <f>COUNTIFS('Test Cases'!$B$3:$B$300,$B51,'Test Cases'!$I$3:$I$300,"Fail")</f>
        <v/>
      </c>
      <c r="F51" s="10">
        <f>COUNTIFS('Test Cases'!$B$3:$B$300,$B51,'Test Cases'!$I$3:$I$300,"Block")</f>
        <v/>
      </c>
      <c r="G51" s="10">
        <f>COUNTIFS('Test Cases'!$B$3:$B$300,$B51,'Test Cases'!$I$3:$I$300,"Untested")</f>
        <v/>
      </c>
      <c r="H51" s="11">
        <f>IF(C51-G51=0,0,D51/(C51-G51))</f>
        <v/>
      </c>
    </row>
    <row r="52" ht="18" customHeight="1">
      <c r="B52" s="9" t="inlineStr">
        <is>
          <t>Authorization (RBAC)</t>
        </is>
      </c>
      <c r="C52" s="10">
        <f>COUNTIF('Test Cases'!$B$3:$B$300,$B52)</f>
        <v/>
      </c>
      <c r="D52" s="10">
        <f>COUNTIFS('Test Cases'!$B$3:$B$300,$B52,'Test Cases'!$I$3:$I$300,"Pass")</f>
        <v/>
      </c>
      <c r="E52" s="10">
        <f>COUNTIFS('Test Cases'!$B$3:$B$300,$B52,'Test Cases'!$I$3:$I$300,"Fail")</f>
        <v/>
      </c>
      <c r="F52" s="10">
        <f>COUNTIFS('Test Cases'!$B$3:$B$300,$B52,'Test Cases'!$I$3:$I$300,"Block")</f>
        <v/>
      </c>
      <c r="G52" s="10">
        <f>COUNTIFS('Test Cases'!$B$3:$B$300,$B52,'Test Cases'!$I$3:$I$300,"Untested")</f>
        <v/>
      </c>
      <c r="H52" s="11">
        <f>IF(C52-G52=0,0,D52/(C52-G52))</f>
        <v/>
      </c>
    </row>
    <row r="53" ht="18" customHeight="1">
      <c r="B53" s="9" t="inlineStr">
        <is>
          <t>File Retention</t>
        </is>
      </c>
      <c r="C53" s="10">
        <f>COUNTIF('Test Cases'!$B$3:$B$300,$B53)</f>
        <v/>
      </c>
      <c r="D53" s="10">
        <f>COUNTIFS('Test Cases'!$B$3:$B$300,$B53,'Test Cases'!$I$3:$I$300,"Pass")</f>
        <v/>
      </c>
      <c r="E53" s="10">
        <f>COUNTIFS('Test Cases'!$B$3:$B$300,$B53,'Test Cases'!$I$3:$I$300,"Fail")</f>
        <v/>
      </c>
      <c r="F53" s="10">
        <f>COUNTIFS('Test Cases'!$B$3:$B$300,$B53,'Test Cases'!$I$3:$I$300,"Block")</f>
        <v/>
      </c>
      <c r="G53" s="10">
        <f>COUNTIFS('Test Cases'!$B$3:$B$300,$B53,'Test Cases'!$I$3:$I$300,"Untested")</f>
        <v/>
      </c>
      <c r="H53" s="11">
        <f>IF(C53-G53=0,0,D53/(C53-G53))</f>
        <v/>
      </c>
    </row>
    <row r="54" ht="18" customHeight="1">
      <c r="B54" s="9" t="inlineStr">
        <is>
          <t>File Upload Security</t>
        </is>
      </c>
      <c r="C54" s="10">
        <f>COUNTIF('Test Cases'!$B$3:$B$300,$B54)</f>
        <v/>
      </c>
      <c r="D54" s="10">
        <f>COUNTIFS('Test Cases'!$B$3:$B$300,$B54,'Test Cases'!$I$3:$I$300,"Pass")</f>
        <v/>
      </c>
      <c r="E54" s="10">
        <f>COUNTIFS('Test Cases'!$B$3:$B$300,$B54,'Test Cases'!$I$3:$I$300,"Fail")</f>
        <v/>
      </c>
      <c r="F54" s="10">
        <f>COUNTIFS('Test Cases'!$B$3:$B$300,$B54,'Test Cases'!$I$3:$I$300,"Block")</f>
        <v/>
      </c>
      <c r="G54" s="10">
        <f>COUNTIFS('Test Cases'!$B$3:$B$300,$B54,'Test Cases'!$I$3:$I$300,"Untested")</f>
        <v/>
      </c>
      <c r="H54" s="11">
        <f>IF(C54-G54=0,0,D54/(C54-G54))</f>
        <v/>
      </c>
    </row>
    <row r="55" ht="18" customHeight="1">
      <c r="B55" s="9" t="inlineStr">
        <is>
          <t>Pagination</t>
        </is>
      </c>
      <c r="C55" s="10">
        <f>COUNTIF('Test Cases'!$B$3:$B$300,$B55)</f>
        <v/>
      </c>
      <c r="D55" s="10">
        <f>COUNTIFS('Test Cases'!$B$3:$B$300,$B55,'Test Cases'!$I$3:$I$300,"Pass")</f>
        <v/>
      </c>
      <c r="E55" s="10">
        <f>COUNTIFS('Test Cases'!$B$3:$B$300,$B55,'Test Cases'!$I$3:$I$300,"Fail")</f>
        <v/>
      </c>
      <c r="F55" s="10">
        <f>COUNTIFS('Test Cases'!$B$3:$B$300,$B55,'Test Cases'!$I$3:$I$300,"Block")</f>
        <v/>
      </c>
      <c r="G55" s="10">
        <f>COUNTIFS('Test Cases'!$B$3:$B$300,$B55,'Test Cases'!$I$3:$I$300,"Untested")</f>
        <v/>
      </c>
      <c r="H55" s="11">
        <f>IF(C55-G55=0,0,D55/(C55-G55))</f>
        <v/>
      </c>
    </row>
    <row r="56" ht="18" customHeight="1">
      <c r="B56" s="9" t="inlineStr">
        <is>
          <t>Password Hashing</t>
        </is>
      </c>
      <c r="C56" s="10">
        <f>COUNTIF('Test Cases'!$B$3:$B$300,$B56)</f>
        <v/>
      </c>
      <c r="D56" s="10">
        <f>COUNTIFS('Test Cases'!$B$3:$B$300,$B56,'Test Cases'!$I$3:$I$300,"Pass")</f>
        <v/>
      </c>
      <c r="E56" s="10">
        <f>COUNTIFS('Test Cases'!$B$3:$B$300,$B56,'Test Cases'!$I$3:$I$300,"Fail")</f>
        <v/>
      </c>
      <c r="F56" s="10">
        <f>COUNTIFS('Test Cases'!$B$3:$B$300,$B56,'Test Cases'!$I$3:$I$300,"Block")</f>
        <v/>
      </c>
      <c r="G56" s="10">
        <f>COUNTIFS('Test Cases'!$B$3:$B$300,$B56,'Test Cases'!$I$3:$I$300,"Untested")</f>
        <v/>
      </c>
      <c r="H56" s="11">
        <f>IF(C56-G56=0,0,D56/(C56-G56))</f>
        <v/>
      </c>
    </row>
    <row r="57" ht="18" customHeight="1">
      <c r="B57" s="9" t="inlineStr">
        <is>
          <t>Subscription Guard</t>
        </is>
      </c>
      <c r="C57" s="10">
        <f>COUNTIF('Test Cases'!$B$3:$B$300,$B57)</f>
        <v/>
      </c>
      <c r="D57" s="10">
        <f>COUNTIFS('Test Cases'!$B$3:$B$300,$B57,'Test Cases'!$I$3:$I$300,"Pass")</f>
        <v/>
      </c>
      <c r="E57" s="10">
        <f>COUNTIFS('Test Cases'!$B$3:$B$300,$B57,'Test Cases'!$I$3:$I$300,"Fail")</f>
        <v/>
      </c>
      <c r="F57" s="10">
        <f>COUNTIFS('Test Cases'!$B$3:$B$300,$B57,'Test Cases'!$I$3:$I$300,"Block")</f>
        <v/>
      </c>
      <c r="G57" s="10">
        <f>COUNTIFS('Test Cases'!$B$3:$B$300,$B57,'Test Cases'!$I$3:$I$300,"Untested")</f>
        <v/>
      </c>
      <c r="H57" s="11">
        <f>IF(C57-G57=0,0,D57/(C57-G57))</f>
        <v/>
      </c>
    </row>
    <row r="58" ht="18" customHeight="1">
      <c r="B58" s="9" t="inlineStr">
        <is>
          <t>Tenant Authorization</t>
        </is>
      </c>
      <c r="C58" s="10">
        <f>COUNTIF('Test Cases'!$B$3:$B$300,$B58)</f>
        <v/>
      </c>
      <c r="D58" s="10">
        <f>COUNTIFS('Test Cases'!$B$3:$B$300,$B58,'Test Cases'!$I$3:$I$300,"Pass")</f>
        <v/>
      </c>
      <c r="E58" s="10">
        <f>COUNTIFS('Test Cases'!$B$3:$B$300,$B58,'Test Cases'!$I$3:$I$300,"Fail")</f>
        <v/>
      </c>
      <c r="F58" s="10">
        <f>COUNTIFS('Test Cases'!$B$3:$B$300,$B58,'Test Cases'!$I$3:$I$300,"Block")</f>
        <v/>
      </c>
      <c r="G58" s="10">
        <f>COUNTIFS('Test Cases'!$B$3:$B$300,$B58,'Test Cases'!$I$3:$I$300,"Untested")</f>
        <v/>
      </c>
      <c r="H58" s="11">
        <f>IF(C58-G58=0,0,D58/(C58-G58))</f>
        <v/>
      </c>
    </row>
    <row r="59" ht="18" customHeight="1">
      <c r="B59" s="9" t="inlineStr">
        <is>
          <t>Tenant Views</t>
        </is>
      </c>
      <c r="C59" s="10">
        <f>COUNTIF('Test Cases'!$B$3:$B$300,$B59)</f>
        <v/>
      </c>
      <c r="D59" s="10">
        <f>COUNTIFS('Test Cases'!$B$3:$B$300,$B59,'Test Cases'!$I$3:$I$300,"Pass")</f>
        <v/>
      </c>
      <c r="E59" s="10">
        <f>COUNTIFS('Test Cases'!$B$3:$B$300,$B59,'Test Cases'!$I$3:$I$300,"Fail")</f>
        <v/>
      </c>
      <c r="F59" s="10">
        <f>COUNTIFS('Test Cases'!$B$3:$B$300,$B59,'Test Cases'!$I$3:$I$300,"Block")</f>
        <v/>
      </c>
      <c r="G59" s="10">
        <f>COUNTIFS('Test Cases'!$B$3:$B$300,$B59,'Test Cases'!$I$3:$I$300,"Untested")</f>
        <v/>
      </c>
      <c r="H59" s="11">
        <f>IF(C59-G59=0,0,D59/(C59-G59))</f>
        <v/>
      </c>
    </row>
    <row r="60" ht="18" customHeight="1">
      <c r="B60" s="9" t="inlineStr">
        <is>
          <t>UI Labels</t>
        </is>
      </c>
      <c r="C60" s="10">
        <f>COUNTIF('Test Cases'!$B$3:$B$300,$B60)</f>
        <v/>
      </c>
      <c r="D60" s="10">
        <f>COUNTIFS('Test Cases'!$B$3:$B$300,$B60,'Test Cases'!$I$3:$I$300,"Pass")</f>
        <v/>
      </c>
      <c r="E60" s="10">
        <f>COUNTIFS('Test Cases'!$B$3:$B$300,$B60,'Test Cases'!$I$3:$I$300,"Fail")</f>
        <v/>
      </c>
      <c r="F60" s="10">
        <f>COUNTIFS('Test Cases'!$B$3:$B$300,$B60,'Test Cases'!$I$3:$I$300,"Block")</f>
        <v/>
      </c>
      <c r="G60" s="10">
        <f>COUNTIFS('Test Cases'!$B$3:$B$300,$B60,'Test Cases'!$I$3:$I$300,"Untested")</f>
        <v/>
      </c>
      <c r="H60" s="11">
        <f>IF(C60-G60=0,0,D60/(C60-G60))</f>
        <v/>
      </c>
    </row>
    <row r="61" ht="18" customHeight="1">
      <c r="B61" s="9" t="inlineStr">
        <is>
          <t>API Response &amp; Audit</t>
        </is>
      </c>
      <c r="C61" s="10">
        <f>COUNTIF('Test Cases'!$B$3:$B$300,$B61)</f>
        <v/>
      </c>
      <c r="D61" s="10">
        <f>COUNTIFS('Test Cases'!$B$3:$B$300,$B61,'Test Cases'!$I$3:$I$300,"Pass")</f>
        <v/>
      </c>
      <c r="E61" s="10">
        <f>COUNTIFS('Test Cases'!$B$3:$B$300,$B61,'Test Cases'!$I$3:$I$300,"Fail")</f>
        <v/>
      </c>
      <c r="F61" s="10">
        <f>COUNTIFS('Test Cases'!$B$3:$B$300,$B61,'Test Cases'!$I$3:$I$300,"Block")</f>
        <v/>
      </c>
      <c r="G61" s="10">
        <f>COUNTIFS('Test Cases'!$B$3:$B$300,$B61,'Test Cases'!$I$3:$I$300,"Untested")</f>
        <v/>
      </c>
      <c r="H61" s="11">
        <f>IF(C61-G61=0,0,D61/(C61-G61))</f>
        <v/>
      </c>
    </row>
    <row r="62" ht="18" customHeight="1">
      <c r="B62" s="9" t="inlineStr">
        <is>
          <t>CSRF Protection</t>
        </is>
      </c>
      <c r="C62" s="10">
        <f>COUNTIF('Test Cases'!$B$3:$B$300,$B62)</f>
        <v/>
      </c>
      <c r="D62" s="10">
        <f>COUNTIFS('Test Cases'!$B$3:$B$300,$B62,'Test Cases'!$I$3:$I$300,"Pass")</f>
        <v/>
      </c>
      <c r="E62" s="10">
        <f>COUNTIFS('Test Cases'!$B$3:$B$300,$B62,'Test Cases'!$I$3:$I$300,"Fail")</f>
        <v/>
      </c>
      <c r="F62" s="10">
        <f>COUNTIFS('Test Cases'!$B$3:$B$300,$B62,'Test Cases'!$I$3:$I$300,"Block")</f>
        <v/>
      </c>
      <c r="G62" s="10">
        <f>COUNTIFS('Test Cases'!$B$3:$B$300,$B62,'Test Cases'!$I$3:$I$300,"Untested")</f>
        <v/>
      </c>
      <c r="H62" s="11">
        <f>IF(C62-G62=0,0,D62/(C62-G62))</f>
        <v/>
      </c>
    </row>
    <row r="63" ht="18" customHeight="1">
      <c r="B63" s="9" t="inlineStr">
        <is>
          <t>Error Handling</t>
        </is>
      </c>
      <c r="C63" s="10">
        <f>COUNTIF('Test Cases'!$B$3:$B$300,$B63)</f>
        <v/>
      </c>
      <c r="D63" s="10">
        <f>COUNTIFS('Test Cases'!$B$3:$B$300,$B63,'Test Cases'!$I$3:$I$300,"Pass")</f>
        <v/>
      </c>
      <c r="E63" s="10">
        <f>COUNTIFS('Test Cases'!$B$3:$B$300,$B63,'Test Cases'!$I$3:$I$300,"Fail")</f>
        <v/>
      </c>
      <c r="F63" s="10">
        <f>COUNTIFS('Test Cases'!$B$3:$B$300,$B63,'Test Cases'!$I$3:$I$300,"Block")</f>
        <v/>
      </c>
      <c r="G63" s="10">
        <f>COUNTIFS('Test Cases'!$B$3:$B$300,$B63,'Test Cases'!$I$3:$I$300,"Untested")</f>
        <v/>
      </c>
      <c r="H63" s="11">
        <f>IF(C63-G63=0,0,D63/(C63-G63))</f>
        <v/>
      </c>
    </row>
    <row r="64" ht="18" customHeight="1">
      <c r="B64" s="9" t="inlineStr">
        <is>
          <t>Authentication</t>
        </is>
      </c>
      <c r="C64" s="10">
        <f>COUNTIF('Test Cases'!$B$3:$B$300,$B64)</f>
        <v/>
      </c>
      <c r="D64" s="10">
        <f>COUNTIFS('Test Cases'!$B$3:$B$300,$B64,'Test Cases'!$I$3:$I$300,"Pass")</f>
        <v/>
      </c>
      <c r="E64" s="10">
        <f>COUNTIFS('Test Cases'!$B$3:$B$300,$B64,'Test Cases'!$I$3:$I$300,"Fail")</f>
        <v/>
      </c>
      <c r="F64" s="10">
        <f>COUNTIFS('Test Cases'!$B$3:$B$300,$B64,'Test Cases'!$I$3:$I$300,"Block")</f>
        <v/>
      </c>
      <c r="G64" s="10">
        <f>COUNTIFS('Test Cases'!$B$3:$B$300,$B64,'Test Cases'!$I$3:$I$300,"Untested")</f>
        <v/>
      </c>
      <c r="H64" s="11">
        <f>IF(C64-G64=0,0,D64/(C64-G64))</f>
        <v/>
      </c>
    </row>
    <row r="65" ht="18" customHeight="1">
      <c r="B65" s="9" t="inlineStr">
        <is>
          <t>Session Management</t>
        </is>
      </c>
      <c r="C65" s="10">
        <f>COUNTIF('Test Cases'!$B$3:$B$300,$B65)</f>
        <v/>
      </c>
      <c r="D65" s="10">
        <f>COUNTIFS('Test Cases'!$B$3:$B$300,$B65,'Test Cases'!$I$3:$I$300,"Pass")</f>
        <v/>
      </c>
      <c r="E65" s="10">
        <f>COUNTIFS('Test Cases'!$B$3:$B$300,$B65,'Test Cases'!$I$3:$I$300,"Fail")</f>
        <v/>
      </c>
      <c r="F65" s="10">
        <f>COUNTIFS('Test Cases'!$B$3:$B$300,$B65,'Test Cases'!$I$3:$I$300,"Block")</f>
        <v/>
      </c>
      <c r="G65" s="10">
        <f>COUNTIFS('Test Cases'!$B$3:$B$300,$B65,'Test Cases'!$I$3:$I$300,"Untested")</f>
        <v/>
      </c>
      <c r="H65" s="11">
        <f>IF(C65-G65=0,0,D65/(C65-G65))</f>
        <v/>
      </c>
    </row>
    <row r="66" ht="18" customHeight="1">
      <c r="B66" s="9" t="inlineStr">
        <is>
          <t>Record Ownership</t>
        </is>
      </c>
      <c r="C66" s="10">
        <f>COUNTIF('Test Cases'!$B$3:$B$300,$B66)</f>
        <v/>
      </c>
      <c r="D66" s="10">
        <f>COUNTIFS('Test Cases'!$B$3:$B$300,$B66,'Test Cases'!$I$3:$I$300,"Pass")</f>
        <v/>
      </c>
      <c r="E66" s="10">
        <f>COUNTIFS('Test Cases'!$B$3:$B$300,$B66,'Test Cases'!$I$3:$I$300,"Fail")</f>
        <v/>
      </c>
      <c r="F66" s="10">
        <f>COUNTIFS('Test Cases'!$B$3:$B$300,$B66,'Test Cases'!$I$3:$I$300,"Block")</f>
        <v/>
      </c>
      <c r="G66" s="10">
        <f>COUNTIFS('Test Cases'!$B$3:$B$300,$B66,'Test Cases'!$I$3:$I$300,"Untested")</f>
        <v/>
      </c>
      <c r="H66" s="11">
        <f>IF(C66-G66=0,0,D66/(C66-G66))</f>
        <v/>
      </c>
    </row>
    <row r="67" ht="18" customHeight="1">
      <c r="B67" s="9" t="inlineStr">
        <is>
          <t>End-to-end Billing Flow</t>
        </is>
      </c>
      <c r="C67" s="10">
        <f>COUNTIF('Test Cases'!$B$3:$B$300,$B67)</f>
        <v/>
      </c>
      <c r="D67" s="10">
        <f>COUNTIFS('Test Cases'!$B$3:$B$300,$B67,'Test Cases'!$I$3:$I$300,"Pass")</f>
        <v/>
      </c>
      <c r="E67" s="10">
        <f>COUNTIFS('Test Cases'!$B$3:$B$300,$B67,'Test Cases'!$I$3:$I$300,"Fail")</f>
        <v/>
      </c>
      <c r="F67" s="10">
        <f>COUNTIFS('Test Cases'!$B$3:$B$300,$B67,'Test Cases'!$I$3:$I$300,"Block")</f>
        <v/>
      </c>
      <c r="G67" s="10">
        <f>COUNTIFS('Test Cases'!$B$3:$B$300,$B67,'Test Cases'!$I$3:$I$300,"Untested")</f>
        <v/>
      </c>
      <c r="H67" s="11">
        <f>IF(C67-G67=0,0,D67/(C67-G67))</f>
        <v/>
      </c>
    </row>
    <row r="68" ht="18" customHeight="1">
      <c r="B68" s="9" t="inlineStr">
        <is>
          <t>Owner Dashboard</t>
        </is>
      </c>
      <c r="C68" s="10">
        <f>COUNTIF('Test Cases'!$B$3:$B$300,$B68)</f>
        <v/>
      </c>
      <c r="D68" s="10">
        <f>COUNTIFS('Test Cases'!$B$3:$B$300,$B68,'Test Cases'!$I$3:$I$300,"Pass")</f>
        <v/>
      </c>
      <c r="E68" s="10">
        <f>COUNTIFS('Test Cases'!$B$3:$B$300,$B68,'Test Cases'!$I$3:$I$300,"Fail")</f>
        <v/>
      </c>
      <c r="F68" s="10">
        <f>COUNTIFS('Test Cases'!$B$3:$B$300,$B68,'Test Cases'!$I$3:$I$300,"Block")</f>
        <v/>
      </c>
      <c r="G68" s="10">
        <f>COUNTIFS('Test Cases'!$B$3:$B$300,$B68,'Test Cases'!$I$3:$I$300,"Untested")</f>
        <v/>
      </c>
      <c r="H68" s="11">
        <f>IF(C68-G68=0,0,D68/(C68-G68))</f>
        <v/>
      </c>
    </row>
    <row r="69" ht="18" customHeight="1">
      <c r="B69" s="9" t="inlineStr">
        <is>
          <t>Brute-force Protection</t>
        </is>
      </c>
      <c r="C69" s="10">
        <f>COUNTIF('Test Cases'!$B$3:$B$300,$B69)</f>
        <v/>
      </c>
      <c r="D69" s="10">
        <f>COUNTIFS('Test Cases'!$B$3:$B$300,$B69,'Test Cases'!$I$3:$I$300,"Pass")</f>
        <v/>
      </c>
      <c r="E69" s="10">
        <f>COUNTIFS('Test Cases'!$B$3:$B$300,$B69,'Test Cases'!$I$3:$I$300,"Fail")</f>
        <v/>
      </c>
      <c r="F69" s="10">
        <f>COUNTIFS('Test Cases'!$B$3:$B$300,$B69,'Test Cases'!$I$3:$I$300,"Block")</f>
        <v/>
      </c>
      <c r="G69" s="10">
        <f>COUNTIFS('Test Cases'!$B$3:$B$300,$B69,'Test Cases'!$I$3:$I$300,"Untested")</f>
        <v/>
      </c>
      <c r="H69" s="11">
        <f>IF(C69-G69=0,0,D69/(C69-G69))</f>
        <v/>
      </c>
    </row>
    <row r="70" ht="18" customHeight="1">
      <c r="B70" s="9" t="inlineStr">
        <is>
          <t>Document Preview</t>
        </is>
      </c>
      <c r="C70" s="10">
        <f>COUNTIF('Test Cases'!$B$3:$B$300,$B70)</f>
        <v/>
      </c>
      <c r="D70" s="10">
        <f>COUNTIFS('Test Cases'!$B$3:$B$300,$B70,'Test Cases'!$I$3:$I$300,"Pass")</f>
        <v/>
      </c>
      <c r="E70" s="10">
        <f>COUNTIFS('Test Cases'!$B$3:$B$300,$B70,'Test Cases'!$I$3:$I$300,"Fail")</f>
        <v/>
      </c>
      <c r="F70" s="10">
        <f>COUNTIFS('Test Cases'!$B$3:$B$300,$B70,'Test Cases'!$I$3:$I$300,"Block")</f>
        <v/>
      </c>
      <c r="G70" s="10">
        <f>COUNTIFS('Test Cases'!$B$3:$B$300,$B70,'Test Cases'!$I$3:$I$300,"Untested")</f>
        <v/>
      </c>
      <c r="H70" s="11">
        <f>IF(C70-G70=0,0,D70/(C70-G70))</f>
        <v/>
      </c>
    </row>
    <row r="71" ht="18" customHeight="1">
      <c r="B71" s="9" t="inlineStr">
        <is>
          <t>Edit Conflicts</t>
        </is>
      </c>
      <c r="C71" s="10">
        <f>COUNTIF('Test Cases'!$B$3:$B$300,$B71)</f>
        <v/>
      </c>
      <c r="D71" s="10">
        <f>COUNTIFS('Test Cases'!$B$3:$B$300,$B71,'Test Cases'!$I$3:$I$300,"Pass")</f>
        <v/>
      </c>
      <c r="E71" s="10">
        <f>COUNTIFS('Test Cases'!$B$3:$B$300,$B71,'Test Cases'!$I$3:$I$300,"Fail")</f>
        <v/>
      </c>
      <c r="F71" s="10">
        <f>COUNTIFS('Test Cases'!$B$3:$B$300,$B71,'Test Cases'!$I$3:$I$300,"Block")</f>
        <v/>
      </c>
      <c r="G71" s="10">
        <f>COUNTIFS('Test Cases'!$B$3:$B$300,$B71,'Test Cases'!$I$3:$I$300,"Untested")</f>
        <v/>
      </c>
      <c r="H71" s="11">
        <f>IF(C71-G71=0,0,D71/(C71-G71))</f>
        <v/>
      </c>
    </row>
    <row r="72" ht="18" customHeight="1">
      <c r="B72" s="9" t="inlineStr">
        <is>
          <t>File Upload</t>
        </is>
      </c>
      <c r="C72" s="10">
        <f>COUNTIF('Test Cases'!$B$3:$B$300,$B72)</f>
        <v/>
      </c>
      <c r="D72" s="10">
        <f>COUNTIFS('Test Cases'!$B$3:$B$300,$B72,'Test Cases'!$I$3:$I$300,"Pass")</f>
        <v/>
      </c>
      <c r="E72" s="10">
        <f>COUNTIFS('Test Cases'!$B$3:$B$300,$B72,'Test Cases'!$I$3:$I$300,"Fail")</f>
        <v/>
      </c>
      <c r="F72" s="10">
        <f>COUNTIFS('Test Cases'!$B$3:$B$300,$B72,'Test Cases'!$I$3:$I$300,"Block")</f>
        <v/>
      </c>
      <c r="G72" s="10">
        <f>COUNTIFS('Test Cases'!$B$3:$B$300,$B72,'Test Cases'!$I$3:$I$300,"Untested")</f>
        <v/>
      </c>
      <c r="H72" s="11">
        <f>IF(C72-G72=0,0,D72/(C72-G72))</f>
        <v/>
      </c>
    </row>
    <row r="73" ht="18" customHeight="1">
      <c r="B73" s="9" t="inlineStr">
        <is>
          <t>Lease Service</t>
        </is>
      </c>
      <c r="C73" s="10">
        <f>COUNTIF('Test Cases'!$B$3:$B$300,$B73)</f>
        <v/>
      </c>
      <c r="D73" s="10">
        <f>COUNTIFS('Test Cases'!$B$3:$B$300,$B73,'Test Cases'!$I$3:$I$300,"Pass")</f>
        <v/>
      </c>
      <c r="E73" s="10">
        <f>COUNTIFS('Test Cases'!$B$3:$B$300,$B73,'Test Cases'!$I$3:$I$300,"Fail")</f>
        <v/>
      </c>
      <c r="F73" s="10">
        <f>COUNTIFS('Test Cases'!$B$3:$B$300,$B73,'Test Cases'!$I$3:$I$300,"Block")</f>
        <v/>
      </c>
      <c r="G73" s="10">
        <f>COUNTIFS('Test Cases'!$B$3:$B$300,$B73,'Test Cases'!$I$3:$I$300,"Untested")</f>
        <v/>
      </c>
      <c r="H73" s="11">
        <f>IF(C73-G73=0,0,D73/(C73-G73))</f>
        <v/>
      </c>
    </row>
    <row r="74" ht="18" customHeight="1">
      <c r="B74" s="9" t="inlineStr">
        <is>
          <t>Login Flow</t>
        </is>
      </c>
      <c r="C74" s="10">
        <f>COUNTIF('Test Cases'!$B$3:$B$300,$B74)</f>
        <v/>
      </c>
      <c r="D74" s="10">
        <f>COUNTIFS('Test Cases'!$B$3:$B$300,$B74,'Test Cases'!$I$3:$I$300,"Pass")</f>
        <v/>
      </c>
      <c r="E74" s="10">
        <f>COUNTIFS('Test Cases'!$B$3:$B$300,$B74,'Test Cases'!$I$3:$I$300,"Fail")</f>
        <v/>
      </c>
      <c r="F74" s="10">
        <f>COUNTIFS('Test Cases'!$B$3:$B$300,$B74,'Test Cases'!$I$3:$I$300,"Block")</f>
        <v/>
      </c>
      <c r="G74" s="10">
        <f>COUNTIFS('Test Cases'!$B$3:$B$300,$B74,'Test Cases'!$I$3:$I$300,"Untested")</f>
        <v/>
      </c>
      <c r="H74" s="11">
        <f>IF(C74-G74=0,0,D74/(C74-G74))</f>
        <v/>
      </c>
    </row>
    <row r="75" ht="18" customHeight="1">
      <c r="B75" s="9" t="inlineStr">
        <is>
          <t>Background Job</t>
        </is>
      </c>
      <c r="C75" s="10">
        <f>COUNTIF('Test Cases'!$B$3:$B$300,$B75)</f>
        <v/>
      </c>
      <c r="D75" s="10">
        <f>COUNTIFS('Test Cases'!$B$3:$B$300,$B75,'Test Cases'!$I$3:$I$300,"Pass")</f>
        <v/>
      </c>
      <c r="E75" s="10">
        <f>COUNTIFS('Test Cases'!$B$3:$B$300,$B75,'Test Cases'!$I$3:$I$300,"Fail")</f>
        <v/>
      </c>
      <c r="F75" s="10">
        <f>COUNTIFS('Test Cases'!$B$3:$B$300,$B75,'Test Cases'!$I$3:$I$300,"Block")</f>
        <v/>
      </c>
      <c r="G75" s="10">
        <f>COUNTIFS('Test Cases'!$B$3:$B$300,$B75,'Test Cases'!$I$3:$I$300,"Untested")</f>
        <v/>
      </c>
      <c r="H75" s="11">
        <f>IF(C75-G75=0,0,D75/(C75-G75))</f>
        <v/>
      </c>
    </row>
    <row r="76" ht="18" customHeight="1">
      <c r="B76" s="9" t="inlineStr">
        <is>
          <t>Owner Search</t>
        </is>
      </c>
      <c r="C76" s="10">
        <f>COUNTIF('Test Cases'!$B$3:$B$300,$B76)</f>
        <v/>
      </c>
      <c r="D76" s="10">
        <f>COUNTIFS('Test Cases'!$B$3:$B$300,$B76,'Test Cases'!$I$3:$I$300,"Pass")</f>
        <v/>
      </c>
      <c r="E76" s="10">
        <f>COUNTIFS('Test Cases'!$B$3:$B$300,$B76,'Test Cases'!$I$3:$I$300,"Fail")</f>
        <v/>
      </c>
      <c r="F76" s="10">
        <f>COUNTIFS('Test Cases'!$B$3:$B$300,$B76,'Test Cases'!$I$3:$I$300,"Block")</f>
        <v/>
      </c>
      <c r="G76" s="10">
        <f>COUNTIFS('Test Cases'!$B$3:$B$300,$B76,'Test Cases'!$I$3:$I$300,"Untested")</f>
        <v/>
      </c>
      <c r="H76" s="11">
        <f>IF(C76-G76=0,0,D76/(C76-G76))</f>
        <v/>
      </c>
    </row>
    <row r="77" ht="18" customHeight="1">
      <c r="B77" s="9" t="inlineStr">
        <is>
          <t>Data Retention</t>
        </is>
      </c>
      <c r="C77" s="10">
        <f>COUNTIF('Test Cases'!$B$3:$B$300,$B77)</f>
        <v/>
      </c>
      <c r="D77" s="10">
        <f>COUNTIFS('Test Cases'!$B$3:$B$300,$B77,'Test Cases'!$I$3:$I$300,"Pass")</f>
        <v/>
      </c>
      <c r="E77" s="10">
        <f>COUNTIFS('Test Cases'!$B$3:$B$300,$B77,'Test Cases'!$I$3:$I$300,"Fail")</f>
        <v/>
      </c>
      <c r="F77" s="10">
        <f>COUNTIFS('Test Cases'!$B$3:$B$300,$B77,'Test Cases'!$I$3:$I$300,"Block")</f>
        <v/>
      </c>
      <c r="G77" s="10">
        <f>COUNTIFS('Test Cases'!$B$3:$B$300,$B77,'Test Cases'!$I$3:$I$300,"Untested")</f>
        <v/>
      </c>
      <c r="H77" s="11">
        <f>IF(C77-G77=0,0,D77/(C77-G77))</f>
        <v/>
      </c>
    </row>
    <row r="78" ht="18" customHeight="1">
      <c r="B78" s="9" t="inlineStr">
        <is>
          <t>Transactions</t>
        </is>
      </c>
      <c r="C78" s="10">
        <f>COUNTIF('Test Cases'!$B$3:$B$300,$B78)</f>
        <v/>
      </c>
      <c r="D78" s="10">
        <f>COUNTIFS('Test Cases'!$B$3:$B$300,$B78,'Test Cases'!$I$3:$I$300,"Pass")</f>
        <v/>
      </c>
      <c r="E78" s="10">
        <f>COUNTIFS('Test Cases'!$B$3:$B$300,$B78,'Test Cases'!$I$3:$I$300,"Fail")</f>
        <v/>
      </c>
      <c r="F78" s="10">
        <f>COUNTIFS('Test Cases'!$B$3:$B$300,$B78,'Test Cases'!$I$3:$I$300,"Block")</f>
        <v/>
      </c>
      <c r="G78" s="10">
        <f>COUNTIFS('Test Cases'!$B$3:$B$300,$B78,'Test Cases'!$I$3:$I$300,"Untested")</f>
        <v/>
      </c>
      <c r="H78" s="11">
        <f>IF(C78-G78=0,0,D78/(C78-G78))</f>
        <v/>
      </c>
    </row>
    <row r="79" ht="18" customHeight="1">
      <c r="B79" s="9" t="inlineStr">
        <is>
          <t>Subscription Enforcement</t>
        </is>
      </c>
      <c r="C79" s="10">
        <f>COUNTIF('Test Cases'!$B$3:$B$300,$B79)</f>
        <v/>
      </c>
      <c r="D79" s="10">
        <f>COUNTIFS('Test Cases'!$B$3:$B$300,$B79,'Test Cases'!$I$3:$I$300,"Pass")</f>
        <v/>
      </c>
      <c r="E79" s="10">
        <f>COUNTIFS('Test Cases'!$B$3:$B$300,$B79,'Test Cases'!$I$3:$I$300,"Fail")</f>
        <v/>
      </c>
      <c r="F79" s="10">
        <f>COUNTIFS('Test Cases'!$B$3:$B$300,$B79,'Test Cases'!$I$3:$I$300,"Block")</f>
        <v/>
      </c>
      <c r="G79" s="10">
        <f>COUNTIFS('Test Cases'!$B$3:$B$300,$B79,'Test Cases'!$I$3:$I$300,"Untested")</f>
        <v/>
      </c>
      <c r="H79" s="11">
        <f>IF(C79-G79=0,0,D79/(C79-G79))</f>
        <v/>
      </c>
    </row>
    <row r="80" ht="18" customHeight="1">
      <c r="B80" s="9" t="inlineStr">
        <is>
          <t>SaaS Dashboard</t>
        </is>
      </c>
      <c r="C80" s="10">
        <f>COUNTIF('Test Cases'!$B$3:$B$300,$B80)</f>
        <v/>
      </c>
      <c r="D80" s="10">
        <f>COUNTIFS('Test Cases'!$B$3:$B$300,$B80,'Test Cases'!$I$3:$I$300,"Pass")</f>
        <v/>
      </c>
      <c r="E80" s="10">
        <f>COUNTIFS('Test Cases'!$B$3:$B$300,$B80,'Test Cases'!$I$3:$I$300,"Fail")</f>
        <v/>
      </c>
      <c r="F80" s="10">
        <f>COUNTIFS('Test Cases'!$B$3:$B$300,$B80,'Test Cases'!$I$3:$I$300,"Block")</f>
        <v/>
      </c>
      <c r="G80" s="10">
        <f>COUNTIFS('Test Cases'!$B$3:$B$300,$B80,'Test Cases'!$I$3:$I$300,"Untested")</f>
        <v/>
      </c>
      <c r="H80" s="11">
        <f>IF(C80-G80=0,0,D80/(C80-G80))</f>
        <v/>
      </c>
    </row>
    <row r="81" ht="18" customHeight="1">
      <c r="B81" s="9" t="inlineStr">
        <is>
          <t>Subscription Renewal</t>
        </is>
      </c>
      <c r="C81" s="10">
        <f>COUNTIF('Test Cases'!$B$3:$B$300,$B81)</f>
        <v/>
      </c>
      <c r="D81" s="10">
        <f>COUNTIFS('Test Cases'!$B$3:$B$300,$B81,'Test Cases'!$I$3:$I$300,"Pass")</f>
        <v/>
      </c>
      <c r="E81" s="10">
        <f>COUNTIFS('Test Cases'!$B$3:$B$300,$B81,'Test Cases'!$I$3:$I$300,"Fail")</f>
        <v/>
      </c>
      <c r="F81" s="10">
        <f>COUNTIFS('Test Cases'!$B$3:$B$300,$B81,'Test Cases'!$I$3:$I$300,"Block")</f>
        <v/>
      </c>
      <c r="G81" s="10">
        <f>COUNTIFS('Test Cases'!$B$3:$B$300,$B81,'Test Cases'!$I$3:$I$300,"Untested")</f>
        <v/>
      </c>
      <c r="H81" s="11">
        <f>IF(C81-G81=0,0,D81/(C81-G81))</f>
        <v/>
      </c>
    </row>
    <row r="82" ht="18" customHeight="1">
      <c r="B82" s="9" t="inlineStr">
        <is>
          <t>Tenant Portal</t>
        </is>
      </c>
      <c r="C82" s="10">
        <f>COUNTIF('Test Cases'!$B$3:$B$300,$B82)</f>
        <v/>
      </c>
      <c r="D82" s="10">
        <f>COUNTIFS('Test Cases'!$B$3:$B$300,$B82,'Test Cases'!$I$3:$I$300,"Pass")</f>
        <v/>
      </c>
      <c r="E82" s="10">
        <f>COUNTIFS('Test Cases'!$B$3:$B$300,$B82,'Test Cases'!$I$3:$I$300,"Fail")</f>
        <v/>
      </c>
      <c r="F82" s="10">
        <f>COUNTIFS('Test Cases'!$B$3:$B$300,$B82,'Test Cases'!$I$3:$I$300,"Block")</f>
        <v/>
      </c>
      <c r="G82" s="10">
        <f>COUNTIFS('Test Cases'!$B$3:$B$300,$B82,'Test Cases'!$I$3:$I$300,"Untested")</f>
        <v/>
      </c>
      <c r="H82" s="11">
        <f>IF(C82-G82=0,0,D82/(C82-G82))</f>
        <v/>
      </c>
    </row>
  </sheetData>
  <mergeCells count="5">
    <mergeCell ref="C6:H6"/>
    <mergeCell ref="C5:H5"/>
    <mergeCell ref="C9:H9"/>
    <mergeCell ref="C8:H8"/>
    <mergeCell ref="C7:H7"/>
  </mergeCells>
  <conditionalFormatting sqref="H14:H83">
    <cfRule type="expression" priority="1" dxfId="0">
      <formula>AND(ISNUMBER(H14),H14&lt;1)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34" customWidth="1" min="4" max="4"/>
    <col width="40" customWidth="1" min="5" max="5"/>
  </cols>
  <sheetData>
    <row r="2" ht="20.4" customHeight="1">
      <c r="B2" s="1" t="inlineStr">
        <is>
          <t>แผนการทดสอบ (Test Plan)</t>
        </is>
      </c>
    </row>
    <row r="3">
      <c r="B3" s="2" t="inlineStr">
        <is>
          <t>Nestly — การทดสอบระดับโค้ดและ API (Unit + Integration)</t>
        </is>
      </c>
    </row>
    <row r="5">
      <c r="B5" s="7" t="inlineStr">
        <is>
          <t>1. วัตถุประสงค์</t>
        </is>
      </c>
    </row>
    <row r="6" ht="15" customHeight="1">
      <c r="B6" s="4" t="inlineStr">
        <is>
          <t>•  ยืนยันว่าตรรกะธุรกิจ (คิดค่าเช่า ค่าน้ำไฟ ค่าปรับ มัดจำ แพ็กเกจ) คำนวณถูกต้อง</t>
        </is>
      </c>
    </row>
    <row r="7" ht="15" customHeight="1">
      <c r="B7" s="4" t="inlineStr">
        <is>
          <t>•  ยืนยันว่าการตรวจข้อมูลด้วย Zod ปฏิเสธข้อมูลผิด ฟิลด์แปลกปลอม และค่าขอบ</t>
        </is>
      </c>
    </row>
    <row r="8" ht="30" customHeight="1">
      <c r="B8" s="4" t="inlineStr">
        <is>
          <t>•  ยืนยันการยืนยันตัวตน session สิทธิ์ตามบทบาท ความเป็นเจ้าของข้อมูล CSRF และการอัปโหลดไฟล์ กับฐานข้อมูลจริง</t>
        </is>
      </c>
    </row>
    <row r="10">
      <c r="B10" s="7" t="inlineStr">
        <is>
          <t>2. ขอบเขตการทดสอบ</t>
        </is>
      </c>
    </row>
    <row r="11" ht="16" customHeight="1">
      <c r="B11" s="12" t="inlineStr">
        <is>
          <t>อยู่ในขอบเขต (รอบนี้)</t>
        </is>
      </c>
      <c r="C11" s="4" t="inlineStr">
        <is>
          <t>Unit 123 เคส (lib/**/*.test.ts) · Integration 94 เคส (tests/integration/*.test.ts)</t>
        </is>
      </c>
    </row>
    <row r="12" ht="28" customHeight="1">
      <c r="B12" s="12" t="inlineStr">
        <is>
          <t>นอกขอบเขต</t>
        </is>
      </c>
      <c r="C12" s="4" t="inlineStr">
        <is>
          <t>การตรวจสิทธิ์แบบไล่ทุก endpoint (ดูชีต ช่องว่างการทดสอบ) · การทดสอบโหลด · ผู้ให้บริการภายนอกจริง (S3 จริง)</t>
        </is>
      </c>
    </row>
    <row r="13" ht="16" customHeight="1">
      <c r="B13" s="12" t="inlineStr">
        <is>
          <t>ทดสอบในระดับอื่นแล้ว</t>
        </is>
      </c>
      <c r="C13" s="4" t="inlineStr">
        <is>
          <t>หน้าจอและเส้นทางผู้ใช้ครอบด้วย Playwright (ดูไฟล์ Nestly-UI-Test-Report.xlsx)</t>
        </is>
      </c>
    </row>
    <row r="15">
      <c r="B15" s="7" t="inlineStr">
        <is>
          <t>3. รายการที่ทดสอบ (Test Items)</t>
        </is>
      </c>
    </row>
    <row r="16">
      <c r="B16" s="8" t="inlineStr">
        <is>
          <t>ส่วนของระบบ</t>
        </is>
      </c>
      <c r="C16" s="8" t="inlineStr">
        <is>
          <t>ตำแหน่งโค้ด</t>
        </is>
      </c>
      <c r="D16" s="8" t="inlineStr">
        <is>
          <t>เทคโนโลยี</t>
        </is>
      </c>
      <c r="E16" s="8" t="inlineStr">
        <is>
          <t>ข้อมูลทดสอบ</t>
        </is>
      </c>
    </row>
    <row r="17" ht="18" customHeight="1">
      <c r="B17" s="9" t="inlineStr">
        <is>
          <t>ตรรกะธุรกิจและ validation</t>
        </is>
      </c>
      <c r="C17" s="13" t="inlineStr">
        <is>
          <t>lib/domain, lib/server, lib/documents</t>
        </is>
      </c>
      <c r="D17" s="13" t="inlineStr">
        <is>
          <t>TypeScript + Zod 4</t>
        </is>
      </c>
      <c r="E17" s="13" t="inlineStr">
        <is>
          <t>ค่าคงที่ในไฟล์เทสต์</t>
        </is>
      </c>
    </row>
    <row r="18" ht="28" customHeight="1">
      <c r="B18" s="9" t="inlineStr">
        <is>
          <t>Route handler ของ API</t>
        </is>
      </c>
      <c r="C18" s="13" t="inlineStr">
        <is>
          <t>app/api/**/route.ts</t>
        </is>
      </c>
      <c r="D18" s="13" t="inlineStr">
        <is>
          <t>Next.js 16 Route Handlers</t>
        </is>
      </c>
      <c r="E18" s="13" t="inlineStr">
        <is>
          <t>fixture สร้างใหม่ทุกไฟล์ (tests/integration/helpers.ts)</t>
        </is>
      </c>
    </row>
    <row r="19" ht="18" customHeight="1">
      <c r="B19" s="9" t="inlineStr">
        <is>
          <t>ฐานข้อมูล</t>
        </is>
      </c>
      <c r="C19" s="13" t="inlineStr">
        <is>
          <t>prisma/schema.prisma + migrations</t>
        </is>
      </c>
      <c r="D19" s="13" t="inlineStr">
        <is>
          <t>PostgreSQL 17 + Prisma 7.9</t>
        </is>
      </c>
      <c r="E19" s="13" t="inlineStr">
        <is>
          <t>ฐาน nestly_test แยกจากฐาน dev</t>
        </is>
      </c>
    </row>
    <row r="21">
      <c r="B21" s="7" t="inlineStr">
        <is>
          <t>4. สภาพแวดล้อมการทดสอบ</t>
        </is>
      </c>
    </row>
    <row r="22" ht="16" customHeight="1">
      <c r="B22" s="12" t="inlineStr">
        <is>
          <t>Unit</t>
        </is>
      </c>
      <c r="C22" s="4" t="inlineStr">
        <is>
          <t>Node.js 22.19 · ไม่ใช้ฐานข้อมูล · S3 จำลองด้วย vi.mock</t>
        </is>
      </c>
    </row>
    <row r="23" ht="28" customHeight="1">
      <c r="B23" s="12" t="inlineStr">
        <is>
          <t>Integration</t>
        </is>
      </c>
      <c r="C23" s="4" t="inlineStr">
        <is>
          <t>PostgreSQL 17.10 ใน Docker (docker-compose.e2e.yml, timezone UTC, tmpfs) · migrate deploy ก่อนรัน · รันทีละไฟล์ timeout 30 วินาที</t>
        </is>
      </c>
    </row>
    <row r="24" ht="16" customHeight="1">
      <c r="B24" s="12" t="inlineStr">
        <is>
          <t>ไฟล์อัปโหลด</t>
        </is>
      </c>
      <c r="C24" s="4" t="inlineStr">
        <is>
          <t>STORAGE_TYPE=local · LOCAL_STORAGE_PATH=./storage/test-documents</t>
        </is>
      </c>
    </row>
    <row r="26">
      <c r="B26" s="7" t="inlineStr">
        <is>
          <t>5. เกณฑ์เริ่มและเกณฑ์จบ</t>
        </is>
      </c>
    </row>
    <row r="27" ht="16" customHeight="1">
      <c r="B27" s="12" t="inlineStr">
        <is>
          <t>เกณฑ์เริ่ม (Entry)</t>
        </is>
      </c>
      <c r="C27" s="4" t="inlineStr">
        <is>
          <t>npm ci สำเร็จ · prisma generate · ฐานทดสอบ migrate ครบ (สำหรับ integration)</t>
        </is>
      </c>
    </row>
    <row r="28" ht="16" customHeight="1">
      <c r="B28" s="12" t="inlineStr">
        <is>
          <t>เกณฑ์จบ (Exit)</t>
        </is>
      </c>
      <c r="C28" s="4" t="inlineStr">
        <is>
          <t>ทุกเคสผ่าน 100% · CI job quality และ integration เป็นสีเขียว</t>
        </is>
      </c>
    </row>
    <row r="29" ht="28" customHeight="1">
      <c r="B29" s="12" t="inlineStr">
        <is>
          <t>การรันซ้ำ</t>
        </is>
      </c>
      <c r="C29" s="4" t="inlineStr">
        <is>
          <t>npm test · npm run test:integration · npm run test:coverage (รายงาน coverage ส่ง SonarQube)</t>
        </is>
      </c>
    </row>
  </sheetData>
  <mergeCells count="12">
    <mergeCell ref="C11:E11"/>
    <mergeCell ref="B8:E8"/>
    <mergeCell ref="C27:E27"/>
    <mergeCell ref="C13:E13"/>
    <mergeCell ref="C28:E28"/>
    <mergeCell ref="C23:E23"/>
    <mergeCell ref="B6:E6"/>
    <mergeCell ref="C22:E22"/>
    <mergeCell ref="B7:E7"/>
    <mergeCell ref="C29:E29"/>
    <mergeCell ref="C12:E12"/>
    <mergeCell ref="C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3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34" customWidth="1" min="4" max="4"/>
    <col width="40" customWidth="1" min="5" max="5"/>
  </cols>
  <sheetData>
    <row r="2" ht="20.4" customHeight="1">
      <c r="B2" s="1" t="inlineStr">
        <is>
          <t>กลยุทธ์การทดสอบ (Test Strategy)</t>
        </is>
      </c>
    </row>
    <row r="3">
      <c r="B3" s="2" t="inlineStr">
        <is>
          <t>ทดสอบอะไร ด้วยวิธีไหน ระดับไหน และจัดการผลอย่างไร</t>
        </is>
      </c>
    </row>
    <row r="5">
      <c r="B5" s="7" t="inlineStr">
        <is>
          <t>1. ระดับการทดสอบ (Test Levels)</t>
        </is>
      </c>
    </row>
    <row r="6">
      <c r="B6" s="8" t="inlineStr">
        <is>
          <t>ระดับ</t>
        </is>
      </c>
      <c r="C6" s="8" t="inlineStr">
        <is>
          <t>เครื่องมือ</t>
        </is>
      </c>
      <c r="D6" s="8" t="inlineStr">
        <is>
          <t>ทดสอบอะไร</t>
        </is>
      </c>
      <c r="E6" s="8" t="inlineStr">
        <is>
          <t>รันเมื่อไร</t>
        </is>
      </c>
    </row>
    <row r="7" ht="18" customHeight="1">
      <c r="B7" s="9" t="inlineStr">
        <is>
          <t>Unit</t>
        </is>
      </c>
      <c r="C7" s="13" t="inlineStr">
        <is>
          <t>Vitest</t>
        </is>
      </c>
      <c r="D7" s="13" t="inlineStr">
        <is>
          <t>ฟังก์ชันคำนวณ schema ของ Zod นโยบายสิทธิ์ ตัวช่วย UI</t>
        </is>
      </c>
      <c r="E7" s="13" t="inlineStr">
        <is>
          <t>ทุก push / pull request (CI job quality)</t>
        </is>
      </c>
    </row>
    <row r="8" ht="28" customHeight="1">
      <c r="B8" s="9" t="inlineStr">
        <is>
          <t>Integration</t>
        </is>
      </c>
      <c r="C8" s="13" t="inlineStr">
        <is>
          <t>Vitest + PostgreSQL</t>
        </is>
      </c>
      <c r="D8" s="13" t="inlineStr">
        <is>
          <t>route handler จริง service และ transaction กับฐานข้อมูลจริง</t>
        </is>
      </c>
      <c r="E8" s="13" t="inlineStr">
        <is>
          <t>ทุก push / pull request (CI job integration)</t>
        </is>
      </c>
    </row>
    <row r="9" ht="18" customHeight="1">
      <c r="B9" s="9" t="inlineStr">
        <is>
          <t>Static / Security</t>
        </is>
      </c>
      <c r="C9" s="13" t="inlineStr">
        <is>
          <t>TypeScript strict · ESLint · npm audit · SonarQube</t>
        </is>
      </c>
      <c r="D9" s="13" t="inlineStr">
        <is>
          <t>ชนิดข้อมูล กลิ่นโค้ด dependency ที่มีช่องโหว่</t>
        </is>
      </c>
      <c r="E9" s="13" t="inlineStr">
        <is>
          <t>ทุก push / pull request และทุกวันจันทร์</t>
        </is>
      </c>
    </row>
    <row r="11">
      <c r="B11" s="7" t="inlineStr">
        <is>
          <t>2. ประเภทและเทคนิคการทดสอบ</t>
        </is>
      </c>
    </row>
    <row r="12">
      <c r="B12" s="8" t="inlineStr">
        <is>
          <t>เทคนิค</t>
        </is>
      </c>
      <c r="C12" s="8" t="inlineStr">
        <is>
          <t>ตัวอย่างในรายงานนี้</t>
        </is>
      </c>
      <c r="D12" s="8" t="inlineStr"/>
      <c r="E12" s="8" t="inlineStr"/>
    </row>
    <row r="13" ht="18" customHeight="1">
      <c r="B13" s="9" t="inlineStr">
        <is>
          <t>Positive</t>
        </is>
      </c>
      <c r="C13" s="13" t="inlineStr">
        <is>
          <t>TC_UNIT_BILL_002, TC_INT_AUTH_002, TC_INT_FLOW_001</t>
        </is>
      </c>
      <c r="D13" s="13" t="inlineStr"/>
      <c r="E13" s="13" t="inlineStr"/>
    </row>
    <row r="14" ht="18" customHeight="1">
      <c r="B14" s="9" t="inlineStr">
        <is>
          <t>Negative</t>
        </is>
      </c>
      <c r="C14" s="13" t="inlineStr">
        <is>
          <t>TC_UNIT_BILL_004, TC_UNIT_CHAT_001, TC_UNIT_LEASE_004</t>
        </is>
      </c>
      <c r="D14" s="13" t="inlineStr"/>
      <c r="E14" s="13" t="inlineStr"/>
    </row>
    <row r="15" ht="28" customHeight="1">
      <c r="B15" s="9" t="inlineStr">
        <is>
          <t>Boundary Value</t>
        </is>
      </c>
      <c r="C15" s="13" t="inlineStr">
        <is>
          <t>TC_UNIT_BILL_003, TC_UNIT_CHAT_002, TC_UNIT_LEASE_002, TC_UNIT_TICKET_002, TC_UNIT_PAGE_003</t>
        </is>
      </c>
      <c r="D15" s="13" t="inlineStr"/>
      <c r="E15" s="13" t="inlineStr"/>
    </row>
    <row r="16" ht="18" customHeight="1">
      <c r="B16" s="9" t="inlineStr">
        <is>
          <t>Equivalence Partitioning</t>
        </is>
      </c>
      <c r="C16" s="13" t="inlineStr">
        <is>
          <t>TC_UNIT_PAY_001, TC_UNIT_TAUTH_001</t>
        </is>
      </c>
      <c r="D16" s="13" t="inlineStr"/>
      <c r="E16" s="13" t="inlineStr"/>
    </row>
    <row r="17" ht="28" customHeight="1">
      <c r="B17" s="9" t="inlineStr">
        <is>
          <t>Security (Auth / Session)</t>
        </is>
      </c>
      <c r="C17" s="13" t="inlineStr">
        <is>
          <t>TC_INT_AUTH_002, TC_INT_SESSION_001, TC_INT_SESSION_002, TC_INT_BRUTE_001, TC_INT_DOC_005</t>
        </is>
      </c>
      <c r="D17" s="13" t="inlineStr"/>
      <c r="E17" s="13" t="inlineStr"/>
    </row>
    <row r="18" ht="28" customHeight="1">
      <c r="B18" s="9" t="inlineStr">
        <is>
          <t>Security (IDOR / RBAC)</t>
        </is>
      </c>
      <c r="C18" s="13" t="inlineStr">
        <is>
          <t>TC_UNIT_NAV_003, TC_UNIT_RBAC_002, TC_INT_OWN_002, TC_INT_CHAT_004, TC_INT_CONFLICT_008</t>
        </is>
      </c>
      <c r="D18" s="13" t="inlineStr"/>
      <c r="E18" s="13" t="inlineStr"/>
    </row>
    <row r="19" ht="28" customHeight="1">
      <c r="B19" s="9" t="inlineStr">
        <is>
          <t>Security (CSRF / XSS / Upload)</t>
        </is>
      </c>
      <c r="C19" s="13" t="inlineStr">
        <is>
          <t>TC_UNIT_STORE_005, TC_UNIT_TPL_001, TC_UNIT_SIG_001, TC_UNIT_TAUTH_002, TC_INT_DOC_001</t>
        </is>
      </c>
      <c r="D19" s="13" t="inlineStr"/>
      <c r="E19" s="13" t="inlineStr"/>
    </row>
    <row r="20" ht="18" customHeight="1">
      <c r="B20" s="9" t="inlineStr">
        <is>
          <t>State Transition</t>
        </is>
      </c>
      <c r="C20" s="13" t="inlineStr">
        <is>
          <t>TC_UNIT_ENUM_002, TC_INT_CONFLICT_004</t>
        </is>
      </c>
      <c r="D20" s="13" t="inlineStr"/>
      <c r="E20" s="13" t="inlineStr"/>
    </row>
    <row r="21" ht="28" customHeight="1">
      <c r="B21" s="9" t="inlineStr">
        <is>
          <t>Concurrency / Transaction</t>
        </is>
      </c>
      <c r="C21" s="13" t="inlineStr">
        <is>
          <t>TC_UNIT_LEASE_005, TC_INT_CONFLICT_001, TC_INT_JOB_001, TC_INT_TX_001</t>
        </is>
      </c>
      <c r="D21" s="13" t="inlineStr"/>
      <c r="E21" s="13" t="inlineStr"/>
    </row>
    <row r="23">
      <c r="B23" s="7" t="inlineStr">
        <is>
          <t>3. การจัดการข้อมูลทดสอบ</t>
        </is>
      </c>
    </row>
    <row r="24" ht="28" customHeight="1">
      <c r="B24" s="12" t="inlineStr">
        <is>
          <t>Integration fixture</t>
        </is>
      </c>
      <c r="C24" s="4" t="inlineStr">
        <is>
          <t>createIntegrationFixture() สร้างเจ้าของหอ 2 คน (คนละหอ) Super Admin อาคาร ชั้น ห้อง ชื่อลงท้ายด้วยตัวสุ่ม แล้วลบทิ้งใน afterAll</t>
        </is>
      </c>
    </row>
    <row r="25" ht="16" customHeight="1">
      <c r="B25" s="12" t="inlineStr">
        <is>
          <t>ด่านกันพลาด</t>
        </is>
      </c>
      <c r="C25" s="4" t="inlineStr">
        <is>
          <t>assertTestDatabase() ปฏิเสธฐานที่ชื่อไม่มีคำว่า test ก่อนลบหรือเขียนข้อมูล</t>
        </is>
      </c>
    </row>
    <row r="26" ht="16" customHeight="1">
      <c r="B26" s="12" t="inlineStr">
        <is>
          <t>ค่าคงที่ของ Unit</t>
        </is>
      </c>
      <c r="C26" s="4" t="inlineStr">
        <is>
          <t>ข้อมูลอยู่ในไฟล์เทสต์ เวลาอ้างอิงตั้งตายตัว (เช่น 2026-07-29) ผลจึงไม่ขึ้นกับวันที่รัน</t>
        </is>
      </c>
    </row>
    <row r="28">
      <c r="B28" s="7" t="inlineStr">
        <is>
          <t>4. การจัดการผลและข้อบกพร่อง</t>
        </is>
      </c>
    </row>
    <row r="29" ht="15" customHeight="1">
      <c r="B29" s="4" t="inlineStr">
        <is>
          <t>•  Status ใช้ 4 ค่า: Pass / Fail / Block / Untested · เคส Fail ต้องวิเคราะห์ก่อนออก Defect ID</t>
        </is>
      </c>
    </row>
    <row r="30" ht="15" customHeight="1">
      <c r="B30" s="4" t="inlineStr">
        <is>
          <t>•  CI ล้มเมื่อมีเคสไม่ผ่าน ทำให้ merge ไม่ได้จนกว่าจะแก้</t>
        </is>
      </c>
    </row>
  </sheetData>
  <mergeCells count="5">
    <mergeCell ref="B30:E30"/>
    <mergeCell ref="B29:E29"/>
    <mergeCell ref="C26:E26"/>
    <mergeCell ref="C25:E25"/>
    <mergeCell ref="C24:E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34" customWidth="1" min="3" max="3"/>
    <col width="30" customWidth="1" min="4" max="4"/>
    <col width="40" customWidth="1" min="5" max="5"/>
    <col width="30" customWidth="1" min="6" max="6"/>
    <col width="36" customWidth="1" min="7" max="7"/>
    <col width="38" customWidth="1" min="8" max="8"/>
    <col width="11" customWidth="1" min="9" max="9"/>
    <col width="14" customWidth="1" min="10" max="10"/>
    <col width="14" customWidth="1" min="11" max="11"/>
    <col width="26" customWidth="1" min="12" max="12"/>
    <col width="18" customWidth="1" min="13" max="13"/>
    <col width="17" customWidth="1" min="14" max="14"/>
    <col width="47.6" customWidth="1" min="15" max="15"/>
    <col width="36" customWidth="1" min="16" max="16"/>
  </cols>
  <sheetData>
    <row r="1" ht="24" customHeight="1">
      <c r="A1" s="14" t="inlineStr">
        <is>
          <t>1. ข้อมูลระดับโครงสร้างและเคสทดสอบ (Test Setup)</t>
        </is>
      </c>
      <c r="B1" s="15" t="n"/>
      <c r="C1" s="15" t="n"/>
      <c r="D1" s="15" t="n"/>
      <c r="E1" s="15" t="n"/>
      <c r="F1" s="15" t="n"/>
      <c r="G1" s="15" t="n"/>
      <c r="H1" s="16" t="inlineStr">
        <is>
          <t>2. ผลการทดสอบและการแจ้งบัค (Execution &amp; Bug Tracking)</t>
        </is>
      </c>
      <c r="I1" s="17" t="n"/>
      <c r="J1" s="17" t="n"/>
      <c r="K1" s="17" t="n"/>
      <c r="L1" s="18" t="inlineStr">
        <is>
          <t>3. การบันทึกและจัดการ (Metadata &amp; Evidence)</t>
        </is>
      </c>
      <c r="M1" s="19" t="n"/>
      <c r="N1" s="19" t="n"/>
      <c r="O1" s="19" t="n"/>
      <c r="P1" s="19" t="n"/>
    </row>
    <row r="2" ht="30" customHeight="1">
      <c r="A2" s="20" t="inlineStr">
        <is>
          <t>Test Case ID</t>
        </is>
      </c>
      <c r="B2" s="20" t="inlineStr">
        <is>
          <t>Module / Feature</t>
        </is>
      </c>
      <c r="C2" s="20" t="inlineStr">
        <is>
          <t>Test Scenario / Title</t>
        </is>
      </c>
      <c r="D2" s="20" t="inlineStr">
        <is>
          <t>Pre-conditions</t>
        </is>
      </c>
      <c r="E2" s="20" t="inlineStr">
        <is>
          <t>Test Steps</t>
        </is>
      </c>
      <c r="F2" s="20" t="inlineStr">
        <is>
          <t>Test Data</t>
        </is>
      </c>
      <c r="G2" s="20" t="inlineStr">
        <is>
          <t>Expected Result</t>
        </is>
      </c>
      <c r="H2" s="21" t="inlineStr">
        <is>
          <t>Actual Result</t>
        </is>
      </c>
      <c r="I2" s="21" t="inlineStr">
        <is>
          <t>Status</t>
        </is>
      </c>
      <c r="J2" s="21" t="inlineStr">
        <is>
          <t>Defect ID / Bug Link</t>
        </is>
      </c>
      <c r="K2" s="21" t="inlineStr">
        <is>
          <t>Severity / Priority</t>
        </is>
      </c>
      <c r="L2" s="22" t="inlineStr">
        <is>
          <t>Environment</t>
        </is>
      </c>
      <c r="M2" s="22" t="inlineStr">
        <is>
          <t>Tester Name</t>
        </is>
      </c>
      <c r="N2" s="22" t="inlineStr">
        <is>
          <t>Execution Date</t>
        </is>
      </c>
      <c r="O2" s="22" t="inlineStr">
        <is>
          <t>Screenshot / Evidence Link</t>
        </is>
      </c>
      <c r="P2" s="22" t="inlineStr">
        <is>
          <t>Remarks / Note</t>
        </is>
      </c>
    </row>
    <row r="3" ht="60" customHeight="1">
      <c r="A3" s="23" t="inlineStr">
        <is>
          <t>TC_UNIT_ERR_C_001</t>
        </is>
      </c>
      <c r="B3" s="24" t="inlineStr">
        <is>
          <t>Client Error Handling</t>
        </is>
      </c>
      <c r="C3" s="24" t="inlineStr">
        <is>
          <t>แสดงรหัสอ้างอิง (request ID) ต่อท้ายข้อความ error ที่ผู้ใช้เห็น</t>
        </is>
      </c>
      <c r="D3" s="24" t="inlineStr">
        <is>
          <t>ไม่ต้องใช้ฐานข้อมูล · เรียกฟังก์ชันโดยตรงใน Vitest</t>
        </is>
      </c>
      <c r="E3" s="24" t="inlineStr">
        <is>
          <t>1. สร้าง error จาก API ที่มี requestId
2. เรียก formatClientError()</t>
        </is>
      </c>
      <c r="F3" s="24" t="inlineStr">
        <is>
          <t>error = "บันทึกไม่สำเร็จ"
requestId = "req-123"</t>
        </is>
      </c>
      <c r="G3" s="24" t="inlineStr">
        <is>
          <t>ได้ข้อความ "บันทึกไม่สำเร็จ (รหัสอ้างอิง: req-123)"</t>
        </is>
      </c>
      <c r="H3" s="24" t="inlineStr">
        <is>
          <t>ผลตรงตามที่คาดหวัง — assertion ผ่านครบ (0.00 วินาที)</t>
        </is>
      </c>
      <c r="I3" s="25" t="inlineStr">
        <is>
          <t>Pass</t>
        </is>
      </c>
      <c r="J3" s="24" t="n"/>
      <c r="K3" s="24" t="n"/>
      <c r="L3" s="24" t="inlineStr">
        <is>
          <t>Node.js 22.19 · Vitest 4.1.11 · Windows 11 (ไม่ใช้ฐานข้อมูล)</t>
        </is>
      </c>
      <c r="M3" s="24" t="inlineStr">
        <is>
          <t>Vitest 4.1.11 (อัตโนมัติ)</t>
        </is>
      </c>
      <c r="N3" s="26" t="n">
        <v>46324.78216256944</v>
      </c>
      <c r="O3" s="24" t="inlineStr">
        <is>
          <t>ผลรายเคสอยู่ในไฟล์ JSON ของ Vitest (evidence-api/)</t>
        </is>
      </c>
      <c r="P3" s="24" t="inlineStr">
        <is>
          <t>สคริปต์: lib/client/api-error.test.ts
ชื่อเทสต์: client API errors includes the request ID in the user-facing error</t>
        </is>
      </c>
    </row>
    <row r="4" ht="60" customHeight="1">
      <c r="A4" s="23" t="inlineStr">
        <is>
          <t>TC_UNIT_ERR_C_002</t>
        </is>
      </c>
      <c r="B4" s="24" t="inlineStr">
        <is>
          <t>Client Error Handling</t>
        </is>
      </c>
      <c r="C4" s="24" t="inlineStr">
        <is>
          <t>error ที่ไม่รู้จักต้องแสดงข้อความกลางที่ปลอดภัย</t>
        </is>
      </c>
      <c r="D4" s="24" t="inlineStr">
        <is>
          <t>ไม่ต้องใช้ฐานข้อมูล · เรียกฟังก์ชันโดยตรงใน Vitest</t>
        </is>
      </c>
      <c r="E4" s="24" t="inlineStr">
        <is>
          <t>1. เรียก formatClientError(null, ข้อความสำรอง)</t>
        </is>
      </c>
      <c r="F4" s="24" t="inlineStr">
        <is>
          <t>error = null
fallback = "ไม่สามารถดำเนินการได้"</t>
        </is>
      </c>
      <c r="G4" s="24" t="inlineStr">
        <is>
          <t>ได้ข้อความสำรอง "ไม่สามารถดำเนินการได้" ไม่เผยรายละเอียดภายใน</t>
        </is>
      </c>
      <c r="H4" s="24" t="inlineStr">
        <is>
          <t>ผลตรงตามที่คาดหวัง — assertion ผ่านครบ (0.00 วินาที)</t>
        </is>
      </c>
      <c r="I4" s="25" t="inlineStr">
        <is>
          <t>Pass</t>
        </is>
      </c>
      <c r="J4" s="24" t="n"/>
      <c r="K4" s="24" t="n"/>
      <c r="L4" s="24" t="inlineStr">
        <is>
          <t>Node.js 22.19 · Vitest 4.1.11 · Windows 11 (ไม่ใช้ฐานข้อมูล)</t>
        </is>
      </c>
      <c r="M4" s="24" t="inlineStr">
        <is>
          <t>Vitest 4.1.11 (อัตโนมัติ)</t>
        </is>
      </c>
      <c r="N4" s="26" t="n">
        <v>46324.78216260696</v>
      </c>
      <c r="O4" s="24" t="inlineStr">
        <is>
          <t>ผลรายเคสอยู่ในไฟล์ JSON ของ Vitest (evidence-api/)</t>
        </is>
      </c>
      <c r="P4" s="24" t="inlineStr">
        <is>
          <t>สคริปต์: lib/client/api-error.test.ts
ชื่อเทสต์: client API errors uses a safe fallback for unknown errors</t>
        </is>
      </c>
    </row>
    <row r="5" ht="60" customHeight="1">
      <c r="A5" s="23" t="inlineStr">
        <is>
          <t>TC_UNIT_ERR_C_003</t>
        </is>
      </c>
      <c r="B5" s="24" t="inlineStr">
        <is>
          <t>Client Error Handling</t>
        </is>
      </c>
      <c r="C5" s="24" t="inlineStr">
        <is>
          <t>อ่าน requestId จาก body ของ API ที่ตอบ error</t>
        </is>
      </c>
      <c r="D5" s="24" t="inlineStr">
        <is>
          <t>ไม่ต้องใช้ฐานข้อมูล · เรียกฟังก์ชันโดยตรงใน Vitest</t>
        </is>
      </c>
      <c r="E5" s="24" t="inlineStr">
        <is>
          <t>1. สร้าง Response สถานะ 409 ที่มี error + requestId
2. เรียก readApiPayload()</t>
        </is>
      </c>
      <c r="F5" s="24" t="inlineStr">
        <is>
          <t>HTTP 409
body = {"error":"บันทึกไม่สำเร็จ","requestId":"req-body"}</t>
        </is>
      </c>
      <c r="G5" s="24" t="inlineStr">
        <is>
          <t>ได้ error ที่มี message "บันทึกไม่สำเร็จ" และ requestId "req-body"</t>
        </is>
      </c>
      <c r="H5" s="24" t="inlineStr">
        <is>
          <t>ผลตรงตามที่คาดหวัง — assertion ผ่านครบ (0.04 วินาที)</t>
        </is>
      </c>
      <c r="I5" s="25" t="inlineStr">
        <is>
          <t>Pass</t>
        </is>
      </c>
      <c r="J5" s="24" t="n"/>
      <c r="K5" s="24" t="n"/>
      <c r="L5" s="24" t="inlineStr">
        <is>
          <t>Node.js 22.19 · Vitest 4.1.11 · Windows 11 (ไม่ใช้ฐานข้อมูล)</t>
        </is>
      </c>
      <c r="M5" s="24" t="inlineStr">
        <is>
          <t>Vitest 4.1.11 (อัตโนมัติ)</t>
        </is>
      </c>
      <c r="N5" s="26" t="n">
        <v>46324.7821626123</v>
      </c>
      <c r="O5" s="24" t="inlineStr">
        <is>
          <t>ผลรายเคสอยู่ในไฟล์ JSON ของ Vitest (evidence-api/)</t>
        </is>
      </c>
      <c r="P5" s="24" t="inlineStr">
        <is>
          <t>สคริปต์: lib/client/api-error.test.ts
ชื่อเทสต์: client API errors preserves a request ID from an API error envelope</t>
        </is>
      </c>
    </row>
    <row r="6" ht="60" customHeight="1">
      <c r="A6" s="23" t="inlineStr">
        <is>
          <t>TC_UNIT_ERR_C_004</t>
        </is>
      </c>
      <c r="B6" s="24" t="inlineStr">
        <is>
          <t>Client Error Handling</t>
        </is>
      </c>
      <c r="C6" s="24" t="inlineStr">
        <is>
          <t>body ไม่ใช่ JSON ต้องใช้ requestId จาก header แทน</t>
        </is>
      </c>
      <c r="D6" s="24" t="inlineStr">
        <is>
          <t>ไม่ต้องใช้ฐานข้อมูล · เรียกฟังก์ชันโดยตรงใน Vitest</t>
        </is>
      </c>
      <c r="E6" s="24" t="inlineStr">
        <is>
          <t>1. สร้าง Response 502 ที่ body เป็นข้อความธรรมดา
2. เรียก readApiPayload()</t>
        </is>
      </c>
      <c r="F6" s="24" t="inlineStr">
        <is>
          <t>HTTP 502
body = "not-json"
x-request-id = req-header</t>
        </is>
      </c>
      <c r="G6" s="24" t="inlineStr">
        <is>
          <t>ได้ error ข้อความสำรอง "ระบบไม่พร้อม" และ requestId "req-header"</t>
        </is>
      </c>
      <c r="H6" s="24" t="inlineStr">
        <is>
          <t>ผลตรงตามที่คาดหวัง — assertion ผ่านครบ (0.00 วินาที)</t>
        </is>
      </c>
      <c r="I6" s="25" t="inlineStr">
        <is>
          <t>Pass</t>
        </is>
      </c>
      <c r="J6" s="24" t="n"/>
      <c r="K6" s="24" t="n"/>
      <c r="L6" s="24" t="inlineStr">
        <is>
          <t>Node.js 22.19 · Vitest 4.1.11 · Windows 11 (ไม่ใช้ฐานข้อมูล)</t>
        </is>
      </c>
      <c r="M6" s="24" t="inlineStr">
        <is>
          <t>Vitest 4.1.11 (อัตโนมัติ)</t>
        </is>
      </c>
      <c r="N6" s="26" t="n">
        <v>46324.78216309146</v>
      </c>
      <c r="O6" s="24" t="inlineStr">
        <is>
          <t>ผลรายเคสอยู่ในไฟล์ JSON ของ Vitest (evidence-api/)</t>
        </is>
      </c>
      <c r="P6" s="24" t="inlineStr">
        <is>
          <t>สคริปต์: lib/client/api-error.test.ts
ชื่อเทสต์: client API errors uses the response header request ID when the body is invalid</t>
        </is>
      </c>
    </row>
    <row r="7" ht="60" customHeight="1">
      <c r="A7" s="23" t="inlineStr">
        <is>
          <t>TC_UNIT_ERR_C_005</t>
        </is>
      </c>
      <c r="B7" s="24" t="inlineStr">
        <is>
          <t>Client Error Handling</t>
        </is>
      </c>
      <c r="C7" s="24" t="inlineStr">
        <is>
          <t>อ่านข้อมูลจากรูปแบบคำตอบสำเร็จมาตรฐาน { data, requestId }</t>
        </is>
      </c>
      <c r="D7" s="24" t="inlineStr">
        <is>
          <t>ไม่ต้องใช้ฐานข้อมูล · เรียกฟังก์ชันโดยตรงใน Vitest</t>
        </is>
      </c>
      <c r="E7" s="24" t="inlineStr">
        <is>
          <t>1. สร้าง Response 200 แบบมาตรฐาน
2. เรียก readApiData()</t>
        </is>
      </c>
      <c r="F7" s="24" t="inlineStr">
        <is>
          <t>body = {"data":{"id":"1"},"requestId":"req-ok"}</t>
        </is>
      </c>
      <c r="G7" s="24" t="inlineStr">
        <is>
          <t>ได้ข้อมูล {"id":"1"}</t>
        </is>
      </c>
      <c r="H7" s="24" t="inlineStr">
        <is>
          <t>ผลตรงตามที่คาดหวัง — assertion ผ่านครบ (0.00 วินาที)</t>
        </is>
      </c>
      <c r="I7" s="25" t="inlineStr">
        <is>
          <t>Pass</t>
        </is>
      </c>
      <c r="J7" s="24" t="n"/>
      <c r="K7" s="24" t="n"/>
      <c r="L7" s="24" t="inlineStr">
        <is>
          <t>Node.js 22.19 · Vitest 4.1.11 · Windows 11 (ไม่ใช้ฐานข้อมูล)</t>
        </is>
      </c>
      <c r="M7" s="24" t="inlineStr">
        <is>
          <t>Vitest 4.1.11 (อัตโนมัติ)</t>
        </is>
      </c>
      <c r="N7" s="26" t="n">
        <v>46324.7821631181</v>
      </c>
      <c r="O7" s="24" t="inlineStr">
        <is>
          <t>ผลรายเคสอยู่ในไฟล์ JSON ของ Vitest (evidence-api/)</t>
        </is>
      </c>
      <c r="P7" s="24" t="inlineStr">
        <is>
          <t>สคริปต์: lib/client/api-error.test.ts
ชื่อเทสต์: client API errors returns data from the standard success envelope</t>
        </is>
      </c>
    </row>
    <row r="8" ht="72" customHeight="1">
      <c r="A8" s="23" t="inlineStr">
        <is>
          <t>TC_UNIT_SUB_UI_001</t>
        </is>
      </c>
      <c r="B8" s="24" t="inlineStr">
        <is>
          <t>Subscription UI State</t>
        </is>
      </c>
      <c r="C8" s="24" t="inlineStr">
        <is>
          <t>แปลงสถานะแพ็กเกจจาก API (maps FULL API access to full) เป็นสถานะหน้าจอ</t>
        </is>
      </c>
      <c r="D8" s="24" t="inlineStr">
        <is>
          <t>ไม่ต้องใช้ฐานข้อมูล · เรียกฟังก์ชันโดยตรงใน Vitest</t>
        </is>
      </c>
      <c r="E8" s="24" t="inlineStr">
        <is>
          <t>1. เรียก resolveSubscriptionUiAccessState({ accessMode })
   หรือ blocksSubscriptionMutations(state)</t>
        </is>
      </c>
      <c r="F8" s="24" t="inlineStr">
        <is>
          <t>maps FULL API access to full</t>
        </is>
      </c>
      <c r="G8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8" s="24" t="inlineStr">
        <is>
          <t>ผลตรงตามที่คาดหวัง — assertion ผ่านครบ (0.00 วินาที)</t>
        </is>
      </c>
      <c r="I8" s="25" t="inlineStr">
        <is>
          <t>Pass</t>
        </is>
      </c>
      <c r="J8" s="24" t="n"/>
      <c r="K8" s="24" t="n"/>
      <c r="L8" s="24" t="inlineStr">
        <is>
          <t>Node.js 22.19 · Vitest 4.1.11 · Windows 11 (ไม่ใช้ฐานข้อมูล)</t>
        </is>
      </c>
      <c r="M8" s="24" t="inlineStr">
        <is>
          <t>Vitest 4.1.11 (อัตโนมัติ)</t>
        </is>
      </c>
      <c r="N8" s="26" t="n">
        <v>46324.78217150463</v>
      </c>
      <c r="O8" s="24" t="inlineStr">
        <is>
          <t>ผลรายเคสอยู่ในไฟล์ JSON ของ Vitest (evidence-api/)</t>
        </is>
      </c>
      <c r="P8" s="24" t="inlineStr">
        <is>
          <t>สคริปต์: lib/client/subscription-access-state.test.ts
ชื่อเทสต์: subscription UI access state maps FULL API access to full</t>
        </is>
      </c>
    </row>
    <row r="9" ht="72" customHeight="1">
      <c r="A9" s="23" t="inlineStr">
        <is>
          <t>TC_UNIT_SUB_UI_002</t>
        </is>
      </c>
      <c r="B9" s="24" t="inlineStr">
        <is>
          <t>Subscription UI State</t>
        </is>
      </c>
      <c r="C9" s="24" t="inlineStr">
        <is>
          <t>แปลงสถานะแพ็กเกจจาก API (maps GRACE API access to grace) เป็นสถานะหน้าจอ</t>
        </is>
      </c>
      <c r="D9" s="24" t="inlineStr">
        <is>
          <t>ไม่ต้องใช้ฐานข้อมูล · เรียกฟังก์ชันโดยตรงใน Vitest</t>
        </is>
      </c>
      <c r="E9" s="24" t="inlineStr">
        <is>
          <t>1. เรียก resolveSubscriptionUiAccessState({ accessMode })
   หรือ blocksSubscriptionMutations(state)</t>
        </is>
      </c>
      <c r="F9" s="24" t="inlineStr">
        <is>
          <t>maps GRACE API access to grace</t>
        </is>
      </c>
      <c r="G9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9" s="24" t="inlineStr">
        <is>
          <t>ผลตรงตามที่คาดหวัง — assertion ผ่านครบ (0.00 วินาที)</t>
        </is>
      </c>
      <c r="I9" s="25" t="inlineStr">
        <is>
          <t>Pass</t>
        </is>
      </c>
      <c r="J9" s="24" t="n"/>
      <c r="K9" s="24" t="n"/>
      <c r="L9" s="24" t="inlineStr">
        <is>
          <t>Node.js 22.19 · Vitest 4.1.11 · Windows 11 (ไม่ใช้ฐานข้อมูล)</t>
        </is>
      </c>
      <c r="M9" s="24" t="inlineStr">
        <is>
          <t>Vitest 4.1.11 (อัตโนมัติ)</t>
        </is>
      </c>
      <c r="N9" s="26" t="n">
        <v>46324.78217153881</v>
      </c>
      <c r="O9" s="24" t="inlineStr">
        <is>
          <t>ผลรายเคสอยู่ในไฟล์ JSON ของ Vitest (evidence-api/)</t>
        </is>
      </c>
      <c r="P9" s="24" t="inlineStr">
        <is>
          <t>สคริปต์: lib/client/subscription-access-state.test.ts
ชื่อเทสต์: subscription UI access state maps GRACE API access to grace</t>
        </is>
      </c>
    </row>
    <row r="10" ht="72" customHeight="1">
      <c r="A10" s="23" t="inlineStr">
        <is>
          <t>TC_UNIT_SUB_UI_003</t>
        </is>
      </c>
      <c r="B10" s="24" t="inlineStr">
        <is>
          <t>Subscription UI State</t>
        </is>
      </c>
      <c r="C10" s="24" t="inlineStr">
        <is>
          <t>แปลงสถานะแพ็กเกจจาก API (maps READ_ONLY API access to read-only) เป็นสถานะหน้าจอ</t>
        </is>
      </c>
      <c r="D10" s="24" t="inlineStr">
        <is>
          <t>ไม่ต้องใช้ฐานข้อมูล · เรียกฟังก์ชันโดยตรงใน Vitest</t>
        </is>
      </c>
      <c r="E10" s="24" t="inlineStr">
        <is>
          <t>1. เรียก resolveSubscriptionUiAccessState({ accessMode })
   หรือ blocksSubscriptionMutations(state)</t>
        </is>
      </c>
      <c r="F10" s="24" t="inlineStr">
        <is>
          <t>maps READ_ONLY API access to read-only</t>
        </is>
      </c>
      <c r="G10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0" s="24" t="inlineStr">
        <is>
          <t>ผลตรงตามที่คาดหวัง — assertion ผ่านครบ (0.00 วินาที)</t>
        </is>
      </c>
      <c r="I10" s="25" t="inlineStr">
        <is>
          <t>Pass</t>
        </is>
      </c>
      <c r="J10" s="24" t="n"/>
      <c r="K10" s="24" t="n"/>
      <c r="L10" s="24" t="inlineStr">
        <is>
          <t>Node.js 22.19 · Vitest 4.1.11 · Windows 11 (ไม่ใช้ฐานข้อมูล)</t>
        </is>
      </c>
      <c r="M10" s="24" t="inlineStr">
        <is>
          <t>Vitest 4.1.11 (อัตโนมัติ)</t>
        </is>
      </c>
      <c r="N10" s="26" t="n">
        <v>46324.78217154381</v>
      </c>
      <c r="O10" s="24" t="inlineStr">
        <is>
          <t>ผลรายเคสอยู่ในไฟล์ JSON ของ Vitest (evidence-api/)</t>
        </is>
      </c>
      <c r="P10" s="24" t="inlineStr">
        <is>
          <t>สคริปต์: lib/client/subscription-access-state.test.ts
ชื่อเทสต์: subscription UI access state maps READ_ONLY API access to read-only</t>
        </is>
      </c>
    </row>
    <row r="11" ht="60" customHeight="1">
      <c r="A11" s="23" t="inlineStr">
        <is>
          <t>TC_UNIT_SUB_UI_004</t>
        </is>
      </c>
      <c r="B11" s="24" t="inlineStr">
        <is>
          <t>Subscription UI State</t>
        </is>
      </c>
      <c r="C11" s="24" t="inlineStr">
        <is>
          <t>แยกสถานะกำลังโหลด / โหลดผิดพลาด ออกจากสถานะอ่านอย่างเดียวจริง</t>
        </is>
      </c>
      <c r="D11" s="24" t="inlineStr">
        <is>
          <t>ไม่ต้องใช้ฐานข้อมูล · เรียกฟังก์ชันโดยตรงใน Vitest</t>
        </is>
      </c>
      <c r="E11" s="24" t="inlineStr">
        <is>
          <t>1. เรียกด้วย isLoading=true
2. เรียกด้วย error
3. เรียกด้วยค่าว่าง</t>
        </is>
      </c>
      <c r="F11" s="24" t="inlineStr">
        <is>
          <t>isLoading=true · error="network error" · {}</t>
        </is>
      </c>
      <c r="G11" s="24" t="inlineStr">
        <is>
          <t>ได้ "loading", "error", "error" ตามลำดับ (ไม่สรุปว่าแพ็กเกจหมดอายุ)</t>
        </is>
      </c>
      <c r="H11" s="24" t="inlineStr">
        <is>
          <t>ผลตรงตามที่คาดหวัง — assertion ผ่านครบ (0.00 วินาที)</t>
        </is>
      </c>
      <c r="I11" s="25" t="inlineStr">
        <is>
          <t>Pass</t>
        </is>
      </c>
      <c r="J11" s="24" t="n"/>
      <c r="K11" s="24" t="n"/>
      <c r="L11" s="24" t="inlineStr">
        <is>
          <t>Node.js 22.19 · Vitest 4.1.11 · Windows 11 (ไม่ใช้ฐานข้อมูล)</t>
        </is>
      </c>
      <c r="M11" s="24" t="inlineStr">
        <is>
          <t>Vitest 4.1.11 (อัตโนมัติ)</t>
        </is>
      </c>
      <c r="N11" s="26" t="n">
        <v>46324.78217154637</v>
      </c>
      <c r="O11" s="24" t="inlineStr">
        <is>
          <t>ผลรายเคสอยู่ในไฟล์ JSON ของ Vitest (evidence-api/)</t>
        </is>
      </c>
      <c r="P11" s="24" t="inlineStr">
        <is>
          <t>สคริปต์: lib/client/subscription-access-state.test.ts
ชื่อเทสต์: subscription UI access state distinguishes loading and errors from confirmed read-only access</t>
        </is>
      </c>
    </row>
    <row r="12" ht="60" customHeight="1">
      <c r="A12" s="23" t="inlineStr">
        <is>
          <t>TC_UNIT_SUB_UI_005</t>
        </is>
      </c>
      <c r="B12" s="24" t="inlineStr">
        <is>
          <t>Subscription UI State</t>
        </is>
      </c>
      <c r="C12" s="24" t="inlineStr">
        <is>
          <t>ระหว่างรีเฟรชเบื้องหลังต้องคงสิทธิ์ที่ยืนยันแล้วไว้</t>
        </is>
      </c>
      <c r="D12" s="24" t="inlineStr">
        <is>
          <t>ไม่ต้องใช้ฐานข้อมูล · เรียกฟังก์ชันโดยตรงใน Vitest</t>
        </is>
      </c>
      <c r="E12" s="24" t="inlineStr">
        <is>
          <t>1. accessMode=FULL พร้อม isLoading
2. accessMode=GRACE พร้อม error</t>
        </is>
      </c>
      <c r="F12" s="24" t="inlineStr">
        <is>
          <t>FULL + isLoading · GRACE + error</t>
        </is>
      </c>
      <c r="G12" s="24" t="inlineStr">
        <is>
          <t>ได้ "full" และ "grace" ตามเดิม</t>
        </is>
      </c>
      <c r="H12" s="24" t="inlineStr">
        <is>
          <t>ผลตรงตามที่คาดหวัง — assertion ผ่านครบ (0.00 วินาที)</t>
        </is>
      </c>
      <c r="I12" s="25" t="inlineStr">
        <is>
          <t>Pass</t>
        </is>
      </c>
      <c r="J12" s="24" t="n"/>
      <c r="K12" s="24" t="n"/>
      <c r="L12" s="24" t="inlineStr">
        <is>
          <t>Node.js 22.19 · Vitest 4.1.11 · Windows 11 (ไม่ใช้ฐานข้อมูล)</t>
        </is>
      </c>
      <c r="M12" s="24" t="inlineStr">
        <is>
          <t>Vitest 4.1.11 (อัตโนมัติ)</t>
        </is>
      </c>
      <c r="N12" s="26" t="n">
        <v>46324.7821715515</v>
      </c>
      <c r="O12" s="24" t="inlineStr">
        <is>
          <t>ผลรายเคสอยู่ในไฟล์ JSON ของ Vitest (evidence-api/)</t>
        </is>
      </c>
      <c r="P12" s="24" t="inlineStr">
        <is>
          <t>สคริปต์: lib/client/subscription-access-state.test.ts
ชื่อเทสต์: subscription UI access state keeps confirmed access during a background refresh or refresh error</t>
        </is>
      </c>
    </row>
    <row r="13" ht="60" customHeight="1">
      <c r="A13" s="23" t="inlineStr">
        <is>
          <t>TC_UNIT_SUB_UI_006</t>
        </is>
      </c>
      <c r="B13" s="24" t="inlineStr">
        <is>
          <t>Subscription UI State</t>
        </is>
      </c>
      <c r="C13" s="24" t="inlineStr">
        <is>
          <t>หน้าที่ไม่ได้อยู่ในบริบทหอพัก ไม่ถูกจำกัดสิทธิ์</t>
        </is>
      </c>
      <c r="D13" s="24" t="inlineStr">
        <is>
          <t>ไม่ต้องใช้ฐานข้อมูล · เรียกฟังก์ชันโดยตรงใน Vitest</t>
        </is>
      </c>
      <c r="E13" s="24" t="inlineStr">
        <is>
          <t>1. เรียกด้วย enabled=false, isLoading=true</t>
        </is>
      </c>
      <c r="F13" s="24" t="inlineStr">
        <is>
          <t>enabled=false</t>
        </is>
      </c>
      <c r="G13" s="24" t="inlineStr">
        <is>
          <t>ได้ "full"</t>
        </is>
      </c>
      <c r="H13" s="24" t="inlineStr">
        <is>
          <t>ผลตรงตามที่คาดหวัง — assertion ผ่านครบ (0.00 วินาที)</t>
        </is>
      </c>
      <c r="I13" s="25" t="inlineStr">
        <is>
          <t>Pass</t>
        </is>
      </c>
      <c r="J13" s="24" t="n"/>
      <c r="K13" s="24" t="n"/>
      <c r="L13" s="24" t="inlineStr">
        <is>
          <t>Node.js 22.19 · Vitest 4.1.11 · Windows 11 (ไม่ใช้ฐานข้อมูล)</t>
        </is>
      </c>
      <c r="M13" s="24" t="inlineStr">
        <is>
          <t>Vitest 4.1.11 (อัตโนมัติ)</t>
        </is>
      </c>
      <c r="N13" s="26" t="n">
        <v>46324.78217155498</v>
      </c>
      <c r="O13" s="24" t="inlineStr">
        <is>
          <t>ผลรายเคสอยู่ในไฟล์ JSON ของ Vitest (evidence-api/)</t>
        </is>
      </c>
      <c r="P13" s="24" t="inlineStr">
        <is>
          <t>สคริปต์: lib/client/subscription-access-state.test.ts
ชื่อเทสต์: subscription UI access state does not restrict screens without an active property context</t>
        </is>
      </c>
    </row>
    <row r="14" ht="72" customHeight="1">
      <c r="A14" s="23" t="inlineStr">
        <is>
          <t>TC_UNIT_SUB_UI_007</t>
        </is>
      </c>
      <c r="B14" s="24" t="inlineStr">
        <is>
          <t>Subscription UI State</t>
        </is>
      </c>
      <c r="C14" s="24" t="inlineStr">
        <is>
          <t>แปลงสถานะแพ็กเกจจาก API (maps loading to mutation blocked=true) เป็นสถานะหน้าจอ</t>
        </is>
      </c>
      <c r="D14" s="24" t="inlineStr">
        <is>
          <t>ไม่ต้องใช้ฐานข้อมูล · เรียกฟังก์ชันโดยตรงใน Vitest</t>
        </is>
      </c>
      <c r="E14" s="24" t="inlineStr">
        <is>
          <t>1. เรียก resolveSubscriptionUiAccessState({ accessMode })
   หรือ blocksSubscriptionMutations(state)</t>
        </is>
      </c>
      <c r="F14" s="24" t="inlineStr">
        <is>
          <t>maps loading to mutation blocked=true</t>
        </is>
      </c>
      <c r="G14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4" s="24" t="inlineStr">
        <is>
          <t>ผลตรงตามที่คาดหวัง — assertion ผ่านครบ (0.00 วินาที)</t>
        </is>
      </c>
      <c r="I14" s="25" t="inlineStr">
        <is>
          <t>Pass</t>
        </is>
      </c>
      <c r="J14" s="24" t="n"/>
      <c r="K14" s="24" t="n"/>
      <c r="L14" s="24" t="inlineStr">
        <is>
          <t>Node.js 22.19 · Vitest 4.1.11 · Windows 11 (ไม่ใช้ฐานข้อมูล)</t>
        </is>
      </c>
      <c r="M14" s="24" t="inlineStr">
        <is>
          <t>Vitest 4.1.11 (อัตโนมัติ)</t>
        </is>
      </c>
      <c r="N14" s="26" t="n">
        <v>46324.78217155992</v>
      </c>
      <c r="O14" s="24" t="inlineStr">
        <is>
          <t>ผลรายเคสอยู่ในไฟล์ JSON ของ Vitest (evidence-api/)</t>
        </is>
      </c>
      <c r="P14" s="24" t="inlineStr">
        <is>
          <t>สคริปต์: lib/client/subscription-access-state.test.ts
ชื่อเทสต์: subscription UI access state maps loading to mutation blocked=true</t>
        </is>
      </c>
    </row>
    <row r="15" ht="72" customHeight="1">
      <c r="A15" s="23" t="inlineStr">
        <is>
          <t>TC_UNIT_SUB_UI_008</t>
        </is>
      </c>
      <c r="B15" s="24" t="inlineStr">
        <is>
          <t>Subscription UI State</t>
        </is>
      </c>
      <c r="C15" s="24" t="inlineStr">
        <is>
          <t>แปลงสถานะแพ็กเกจจาก API (maps error to mutation blocked=true) เป็นสถานะหน้าจอ</t>
        </is>
      </c>
      <c r="D15" s="24" t="inlineStr">
        <is>
          <t>ไม่ต้องใช้ฐานข้อมูล · เรียกฟังก์ชันโดยตรงใน Vitest</t>
        </is>
      </c>
      <c r="E15" s="24" t="inlineStr">
        <is>
          <t>1. เรียก resolveSubscriptionUiAccessState({ accessMode })
   หรือ blocksSubscriptionMutations(state)</t>
        </is>
      </c>
      <c r="F15" s="24" t="inlineStr">
        <is>
          <t>maps error to mutation blocked=true</t>
        </is>
      </c>
      <c r="G15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5" s="24" t="inlineStr">
        <is>
          <t>ผลตรงตามที่คาดหวัง — assertion ผ่านครบ (0.00 วินาที)</t>
        </is>
      </c>
      <c r="I15" s="25" t="inlineStr">
        <is>
          <t>Pass</t>
        </is>
      </c>
      <c r="J15" s="24" t="n"/>
      <c r="K15" s="24" t="n"/>
      <c r="L15" s="24" t="inlineStr">
        <is>
          <t>Node.js 22.19 · Vitest 4.1.11 · Windows 11 (ไม่ใช้ฐานข้อมูล)</t>
        </is>
      </c>
      <c r="M15" s="24" t="inlineStr">
        <is>
          <t>Vitest 4.1.11 (อัตโนมัติ)</t>
        </is>
      </c>
      <c r="N15" s="26" t="n">
        <v>46324.78217156405</v>
      </c>
      <c r="O15" s="24" t="inlineStr">
        <is>
          <t>ผลรายเคสอยู่ในไฟล์ JSON ของ Vitest (evidence-api/)</t>
        </is>
      </c>
      <c r="P15" s="24" t="inlineStr">
        <is>
          <t>สคริปต์: lib/client/subscription-access-state.test.ts
ชื่อเทสต์: subscription UI access state maps error to mutation blocked=true</t>
        </is>
      </c>
    </row>
    <row r="16" ht="72" customHeight="1">
      <c r="A16" s="23" t="inlineStr">
        <is>
          <t>TC_UNIT_SUB_UI_009</t>
        </is>
      </c>
      <c r="B16" s="24" t="inlineStr">
        <is>
          <t>Subscription UI State</t>
        </is>
      </c>
      <c r="C16" s="24" t="inlineStr">
        <is>
          <t>แปลงสถานะแพ็กเกจจาก API (maps full to mutation blocked=false) เป็นสถานะหน้าจอ</t>
        </is>
      </c>
      <c r="D16" s="24" t="inlineStr">
        <is>
          <t>ไม่ต้องใช้ฐานข้อมูล · เรียกฟังก์ชันโดยตรงใน Vitest</t>
        </is>
      </c>
      <c r="E16" s="24" t="inlineStr">
        <is>
          <t>1. เรียก resolveSubscriptionUiAccessState({ accessMode })
   หรือ blocksSubscriptionMutations(state)</t>
        </is>
      </c>
      <c r="F16" s="24" t="inlineStr">
        <is>
          <t>maps full to mutation blocked=false</t>
        </is>
      </c>
      <c r="G16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6" s="24" t="inlineStr">
        <is>
          <t>ผลตรงตามที่คาดหวัง — assertion ผ่านครบ (0.00 วินาที)</t>
        </is>
      </c>
      <c r="I16" s="25" t="inlineStr">
        <is>
          <t>Pass</t>
        </is>
      </c>
      <c r="J16" s="24" t="n"/>
      <c r="K16" s="24" t="n"/>
      <c r="L16" s="24" t="inlineStr">
        <is>
          <t>Node.js 22.19 · Vitest 4.1.11 · Windows 11 (ไม่ใช้ฐานข้อมูล)</t>
        </is>
      </c>
      <c r="M16" s="24" t="inlineStr">
        <is>
          <t>Vitest 4.1.11 (อัตโนมัติ)</t>
        </is>
      </c>
      <c r="N16" s="26" t="n">
        <v>46324.78217156627</v>
      </c>
      <c r="O16" s="24" t="inlineStr">
        <is>
          <t>ผลรายเคสอยู่ในไฟล์ JSON ของ Vitest (evidence-api/)</t>
        </is>
      </c>
      <c r="P16" s="24" t="inlineStr">
        <is>
          <t>สคริปต์: lib/client/subscription-access-state.test.ts
ชื่อเทสต์: subscription UI access state maps full to mutation blocked=false</t>
        </is>
      </c>
    </row>
    <row r="17" ht="72" customHeight="1">
      <c r="A17" s="23" t="inlineStr">
        <is>
          <t>TC_UNIT_SUB_UI_010</t>
        </is>
      </c>
      <c r="B17" s="24" t="inlineStr">
        <is>
          <t>Subscription UI State</t>
        </is>
      </c>
      <c r="C17" s="24" t="inlineStr">
        <is>
          <t>แปลงสถานะแพ็กเกจจาก API (maps grace to mutation blocked=false) เป็นสถานะหน้าจอ</t>
        </is>
      </c>
      <c r="D17" s="24" t="inlineStr">
        <is>
          <t>ไม่ต้องใช้ฐานข้อมูล · เรียกฟังก์ชันโดยตรงใน Vitest</t>
        </is>
      </c>
      <c r="E17" s="24" t="inlineStr">
        <is>
          <t>1. เรียก resolveSubscriptionUiAccessState({ accessMode })
   หรือ blocksSubscriptionMutations(state)</t>
        </is>
      </c>
      <c r="F17" s="24" t="inlineStr">
        <is>
          <t>maps grace to mutation blocked=false</t>
        </is>
      </c>
      <c r="G17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7" s="24" t="inlineStr">
        <is>
          <t>ผลตรงตามที่คาดหวัง — assertion ผ่านครบ (0.00 วินาที)</t>
        </is>
      </c>
      <c r="I17" s="25" t="inlineStr">
        <is>
          <t>Pass</t>
        </is>
      </c>
      <c r="J17" s="24" t="n"/>
      <c r="K17" s="24" t="n"/>
      <c r="L17" s="24" t="inlineStr">
        <is>
          <t>Node.js 22.19 · Vitest 4.1.11 · Windows 11 (ไม่ใช้ฐานข้อมูล)</t>
        </is>
      </c>
      <c r="M17" s="24" t="inlineStr">
        <is>
          <t>Vitest 4.1.11 (อัตโนมัติ)</t>
        </is>
      </c>
      <c r="N17" s="26" t="n">
        <v>46324.78217157535</v>
      </c>
      <c r="O17" s="24" t="inlineStr">
        <is>
          <t>ผลรายเคสอยู่ในไฟล์ JSON ของ Vitest (evidence-api/)</t>
        </is>
      </c>
      <c r="P17" s="24" t="inlineStr">
        <is>
          <t>สคริปต์: lib/client/subscription-access-state.test.ts
ชื่อเทสต์: subscription UI access state maps grace to mutation blocked=false</t>
        </is>
      </c>
    </row>
    <row r="18" ht="72" customHeight="1">
      <c r="A18" s="23" t="inlineStr">
        <is>
          <t>TC_UNIT_SUB_UI_011</t>
        </is>
      </c>
      <c r="B18" s="24" t="inlineStr">
        <is>
          <t>Subscription UI State</t>
        </is>
      </c>
      <c r="C18" s="24" t="inlineStr">
        <is>
          <t>แปลงสถานะแพ็กเกจจาก API (maps read-only to mutation blocked=true) เป็นสถานะหน้าจอ</t>
        </is>
      </c>
      <c r="D18" s="24" t="inlineStr">
        <is>
          <t>ไม่ต้องใช้ฐานข้อมูล · เรียกฟังก์ชันโดยตรงใน Vitest</t>
        </is>
      </c>
      <c r="E18" s="24" t="inlineStr">
        <is>
          <t>1. เรียก resolveSubscriptionUiAccessState({ accessMode })
   หรือ blocksSubscriptionMutations(state)</t>
        </is>
      </c>
      <c r="F18" s="24" t="inlineStr">
        <is>
          <t>maps read-only to mutation blocked=true</t>
        </is>
      </c>
      <c r="G18" s="24" t="inlineStr">
        <is>
          <t>ได้ค่าตามตาราง: FULL→full, GRACE→grace, READ_ONLY→read-only · loading/error/read-only ห้ามแก้ไขข้อมูล ส่วน full/grace แก้ไขได้</t>
        </is>
      </c>
      <c r="H18" s="24" t="inlineStr">
        <is>
          <t>ผลตรงตามที่คาดหวัง — assertion ผ่านครบ (0.00 วินาที)</t>
        </is>
      </c>
      <c r="I18" s="25" t="inlineStr">
        <is>
          <t>Pass</t>
        </is>
      </c>
      <c r="J18" s="24" t="n"/>
      <c r="K18" s="24" t="n"/>
      <c r="L18" s="24" t="inlineStr">
        <is>
          <t>Node.js 22.19 · Vitest 4.1.11 · Windows 11 (ไม่ใช้ฐานข้อมูล)</t>
        </is>
      </c>
      <c r="M18" s="24" t="inlineStr">
        <is>
          <t>Vitest 4.1.11 (อัตโนมัติ)</t>
        </is>
      </c>
      <c r="N18" s="26" t="n">
        <v>46324.78217157868</v>
      </c>
      <c r="O18" s="24" t="inlineStr">
        <is>
          <t>ผลรายเคสอยู่ในไฟล์ JSON ของ Vitest (evidence-api/)</t>
        </is>
      </c>
      <c r="P18" s="24" t="inlineStr">
        <is>
          <t>สคริปต์: lib/client/subscription-access-state.test.ts
ชื่อเทสต์: subscription UI access state maps read-only to mutation blocked=true</t>
        </is>
      </c>
    </row>
    <row r="19" ht="60" customHeight="1">
      <c r="A19" s="23" t="inlineStr">
        <is>
          <t>TC_UNIT_CSV_001</t>
        </is>
      </c>
      <c r="B19" s="24" t="inlineStr">
        <is>
          <t>CSV Export</t>
        </is>
      </c>
      <c r="C19" s="24" t="inlineStr">
        <is>
          <t>ส่งออก CSV ภาษาไทยให้ Excel เปิดได้ และ escape อักขระพิเศษ</t>
        </is>
      </c>
      <c r="D19" s="24" t="inlineStr">
        <is>
          <t>ไม่ต้องใช้ฐานข้อมูล · เรียกฟังก์ชันโดยตรงใน Vitest</t>
        </is>
      </c>
      <c r="E19" s="24" t="inlineStr">
        <is>
          <t>1. เรียก createCsv() กับข้อมูลที่มีจุลภาค เครื่องหมายคำพูด และขึ้นบรรทัดใหม่</t>
        </is>
      </c>
      <c r="F19" s="24" t="inlineStr">
        <is>
          <t>แถว: "สมชาย, ใจดี" · "บรรทัด 1\n\"บรรทัด 2\""</t>
        </is>
      </c>
      <c r="G19" s="24" t="inlineStr">
        <is>
          <t>ขึ้นต้นด้วย BOM (\uFEFF) ทุกช่องครอบด้วย " และ " ภายในถูกเปลี่ยนเป็น "" คั่นแถวด้วย CRLF</t>
        </is>
      </c>
      <c r="H19" s="24" t="inlineStr">
        <is>
          <t>ผลตรงตามที่คาดหวัง — assertion ผ่านครบ (0.00 วินาที)</t>
        </is>
      </c>
      <c r="I19" s="25" t="inlineStr">
        <is>
          <t>Pass</t>
        </is>
      </c>
      <c r="J19" s="24" t="n"/>
      <c r="K19" s="24" t="n"/>
      <c r="L19" s="24" t="inlineStr">
        <is>
          <t>Node.js 22.19 · Vitest 4.1.11 · Windows 11 (ไม่ใช้ฐานข้อมูล)</t>
        </is>
      </c>
      <c r="M19" s="24" t="inlineStr">
        <is>
          <t>Vitest 4.1.11 (อัตโนมัติ)</t>
        </is>
      </c>
      <c r="N19" s="26" t="n">
        <v>46324.78217141204</v>
      </c>
      <c r="O19" s="24" t="inlineStr">
        <is>
          <t>ผลรายเคสอยู่ในไฟล์ JSON ของ Vitest (evidence-api/)</t>
        </is>
      </c>
      <c r="P19" s="24" t="inlineStr">
        <is>
          <t>สคริปต์: lib/csv.test.ts
ชื่อเทสต์: createCsv adds an Excel-compatible BOM and escapes quotes, commas and newlines</t>
        </is>
      </c>
    </row>
    <row r="20" ht="60" customHeight="1">
      <c r="A20" s="23" t="inlineStr">
        <is>
          <t>TC_UNIT_CSV_002</t>
        </is>
      </c>
      <c r="B20" s="24" t="inlineStr">
        <is>
          <t>CSV Export</t>
        </is>
      </c>
      <c r="C20" s="24" t="inlineStr">
        <is>
          <t>กัน CSV/Formula Injection ในไฟล์ส่งออก (Security)</t>
        </is>
      </c>
      <c r="D20" s="24" t="inlineStr">
        <is>
          <t>ไม่ต้องใช้ฐานข้อมูล · เรียกฟังก์ชันโดยตรงใน Vitest</t>
        </is>
      </c>
      <c r="E20" s="24" t="inlineStr">
        <is>
          <t>1. เรียก createCsv() กับค่าที่ขึ้นต้นด้วย = + - @</t>
        </is>
      </c>
      <c r="F20" s="24" t="inlineStr">
        <is>
          <t>=1+1 · +SUM(A1:A2) · -2+3 · @cmd · normal</t>
        </is>
      </c>
      <c r="G20" s="24" t="inlineStr">
        <is>
          <t>ค่าที่ขึ้นต้นด้วย = + - @ ถูกเติม ' นำหน้า ส่วนค่าปกติไม่เปลี่ยน</t>
        </is>
      </c>
      <c r="H20" s="24" t="inlineStr">
        <is>
          <t>ผลตรงตามที่คาดหวัง — assertion ผ่านครบ (0.00 วินาที)</t>
        </is>
      </c>
      <c r="I20" s="25" t="inlineStr">
        <is>
          <t>Pass</t>
        </is>
      </c>
      <c r="J20" s="24" t="n"/>
      <c r="K20" s="24" t="n"/>
      <c r="L20" s="24" t="inlineStr">
        <is>
          <t>Node.js 22.19 · Vitest 4.1.11 · Windows 11 (ไม่ใช้ฐานข้อมูล)</t>
        </is>
      </c>
      <c r="M20" s="24" t="inlineStr">
        <is>
          <t>Vitest 4.1.11 (อัตโนมัติ)</t>
        </is>
      </c>
      <c r="N20" s="26" t="n">
        <v>46324.78217145558</v>
      </c>
      <c r="O20" s="24" t="inlineStr">
        <is>
          <t>ผลรายเคสอยู่ในไฟล์ JSON ของ Vitest (evidence-api/)</t>
        </is>
      </c>
      <c r="P20" s="24" t="inlineStr">
        <is>
          <t>สคริปต์: lib/csv.test.ts
ชื่อเทสต์: createCsv neutralizes spreadsheet formulas</t>
        </is>
      </c>
    </row>
    <row r="21" ht="60" customHeight="1">
      <c r="A21" s="23" t="inlineStr">
        <is>
          <t>TC_UNIT_PDF_001</t>
        </is>
      </c>
      <c r="B21" s="24" t="inlineStr">
        <is>
          <t>PDF Generation</t>
        </is>
      </c>
      <c r="C21" s="24" t="inlineStr">
        <is>
          <t>เปิด sandbox ของเบราว์เซอร์สร้าง PDF ไว้เสมอเมื่อไม่ได้รันใน container</t>
        </is>
      </c>
      <c r="D21" s="24" t="inlineStr">
        <is>
          <t>ไม่ต้องใช้ฐานข้อมูล · เรียกฟังก์ชันโดยตรงใน Vitest</t>
        </is>
      </c>
      <c r="E21" s="24" t="inlineStr">
        <is>
          <t>1. เรียก browserLaunchOptions(undefined)</t>
        </is>
      </c>
      <c r="F21" s="24" t="inlineStr">
        <is>
          <t>executablePath = ไม่กำหนด</t>
        </is>
      </c>
      <c r="G21" s="24" t="inlineStr">
        <is>
          <t>ได้ { headless: true } และไม่มี args ปิด sandbox</t>
        </is>
      </c>
      <c r="H21" s="24" t="inlineStr">
        <is>
          <t>ผลตรงตามที่คาดหวัง — assertion ผ่านครบ (0.00 วินาที)</t>
        </is>
      </c>
      <c r="I21" s="25" t="inlineStr">
        <is>
          <t>Pass</t>
        </is>
      </c>
      <c r="J21" s="24" t="n"/>
      <c r="K21" s="24" t="n"/>
      <c r="L21" s="24" t="inlineStr">
        <is>
          <t>Node.js 22.19 · Vitest 4.1.11 · Windows 11 (ไม่ใช้ฐานข้อมูล)</t>
        </is>
      </c>
      <c r="M21" s="24" t="inlineStr">
        <is>
          <t>Vitest 4.1.11 (อัตโนมัติ)</t>
        </is>
      </c>
      <c r="N21" s="26" t="n">
        <v>46324.78217621527</v>
      </c>
      <c r="O21" s="24" t="inlineStr">
        <is>
          <t>ผลรายเคสอยู่ในไฟล์ JSON ของ Vitest (evidence-api/)</t>
        </is>
      </c>
      <c r="P21" s="24" t="inlineStr">
        <is>
          <t>สคริปต์: lib/documents/pdf.test.ts
ชื่อเทสต์: browser launch options keeps the sandbox on when no container browser is configured</t>
        </is>
      </c>
    </row>
    <row r="22" ht="60" customHeight="1">
      <c r="A22" s="23" t="inlineStr">
        <is>
          <t>TC_UNIT_PDF_002</t>
        </is>
      </c>
      <c r="B22" s="24" t="inlineStr">
        <is>
          <t>PDF Generation</t>
        </is>
      </c>
      <c r="C22" s="24" t="inlineStr">
        <is>
          <t>ปิด sandbox เฉพาะ Chromium ที่ติดตั้งใน Docker image</t>
        </is>
      </c>
      <c r="D22" s="24" t="inlineStr">
        <is>
          <t>ไม่ต้องใช้ฐานข้อมูล · เรียกฟังก์ชันโดยตรงใน Vitest</t>
        </is>
      </c>
      <c r="E22" s="24" t="inlineStr">
        <is>
          <t>1. เรียก browserLaunchOptions("/usr/bin/chromium")</t>
        </is>
      </c>
      <c r="F22" s="24" t="inlineStr">
        <is>
          <t>executablePath = /usr/bin/chromium</t>
        </is>
      </c>
      <c r="G22" s="24" t="inlineStr">
        <is>
          <t>ใช้ executablePath ที่กำหนด และมี args --no-sandbox, --disable-dev-shm-usage</t>
        </is>
      </c>
      <c r="H22" s="24" t="inlineStr">
        <is>
          <t>ผลตรงตามที่คาดหวัง — assertion ผ่านครบ (0.00 วินาที)</t>
        </is>
      </c>
      <c r="I22" s="25" t="inlineStr">
        <is>
          <t>Pass</t>
        </is>
      </c>
      <c r="J22" s="24" t="n"/>
      <c r="K22" s="24" t="n"/>
      <c r="L22" s="24" t="inlineStr">
        <is>
          <t>Node.js 22.19 · Vitest 4.1.11 · Windows 11 (ไม่ใช้ฐานข้อมูล)</t>
        </is>
      </c>
      <c r="M22" s="24" t="inlineStr">
        <is>
          <t>Vitest 4.1.11 (อัตโนมัติ)</t>
        </is>
      </c>
      <c r="N22" s="26" t="n">
        <v>46324.78217625383</v>
      </c>
      <c r="O22" s="24" t="inlineStr">
        <is>
          <t>ผลรายเคสอยู่ในไฟล์ JSON ของ Vitest (evidence-api/)</t>
        </is>
      </c>
      <c r="P22" s="24" t="inlineStr">
        <is>
          <t>สคริปต์: lib/documents/pdf.test.ts
ชื่อเทสต์: browser launch options disables the sandbox only for the browser installed in the image</t>
        </is>
      </c>
    </row>
    <row r="23" ht="60" customHeight="1">
      <c r="A23" s="23" t="inlineStr">
        <is>
          <t>TC_UNIT_STORE_001</t>
        </is>
      </c>
      <c r="B23" s="24" t="inlineStr">
        <is>
          <t>File Storage (S3)</t>
        </is>
      </c>
      <c r="C23" s="24" t="inlineStr">
        <is>
          <t>ไม่กำหนด endpoint ให้ AWS SDK เลือกเอง</t>
        </is>
      </c>
      <c r="D23" s="24" t="inlineStr">
        <is>
          <t>จำลอง @aws-sdk/client-s3 ด้วย vi.mock · ตั้ง env STORAGE_TYPE=s3</t>
        </is>
      </c>
      <c r="E23" s="24" t="inlineStr">
        <is>
          <t>1. ตั้ง env S3 โดยไม่มี AWS_S3_ENDPOINT
2. สร้าง storage adapter</t>
        </is>
      </c>
      <c r="F23" s="24" t="inlineStr">
        <is>
          <t>AWS_REGION=auto · AWS_S3_BUCKET=nestly-files</t>
        </is>
      </c>
      <c r="G23" s="24" t="inlineStr">
        <is>
          <t>S3Client ถูกสร้างด้วย { region: "auto" } เท่านั้น</t>
        </is>
      </c>
      <c r="H23" s="24" t="inlineStr">
        <is>
          <t>ผลตรงตามที่คาดหวัง — assertion ผ่านครบ (0.27 วินาที)</t>
        </is>
      </c>
      <c r="I23" s="25" t="inlineStr">
        <is>
          <t>Pass</t>
        </is>
      </c>
      <c r="J23" s="24" t="n"/>
      <c r="K23" s="24" t="n"/>
      <c r="L23" s="24" t="inlineStr">
        <is>
          <t>Node.js 22.19 · Vitest 4.1.11 · Windows 11 (ไม่ใช้ฐานข้อมูล)</t>
        </is>
      </c>
      <c r="M23" s="24" t="inlineStr">
        <is>
          <t>Vitest 4.1.11 (อัตโนมัติ)</t>
        </is>
      </c>
      <c r="N23" s="26" t="n">
        <v>46324.78216152778</v>
      </c>
      <c r="O23" s="24" t="inlineStr">
        <is>
          <t>ผลรายเคสอยู่ในไฟล์ JSON ของ Vitest (evidence-api/)</t>
        </is>
      </c>
      <c r="P23" s="24" t="inlineStr">
        <is>
          <t>สคริปต์: lib/documents/storage.test.ts
ชื่อเทสต์: storage adapter selection lets the SDK resolve the endpoint when none is configured</t>
        </is>
      </c>
    </row>
    <row r="24" ht="60" customHeight="1">
      <c r="A24" s="23" t="inlineStr">
        <is>
          <t>TC_UNIT_STORE_002</t>
        </is>
      </c>
      <c r="B24" s="24" t="inlineStr">
        <is>
          <t>File Storage (S3)</t>
        </is>
      </c>
      <c r="C24" s="24" t="inlineStr">
        <is>
          <t>ใช้ endpoint ของผู้ให้บริการอื่น (เช่น Cloudflare R2) แบบ path style</t>
        </is>
      </c>
      <c r="D24" s="24" t="inlineStr">
        <is>
          <t>จำลอง @aws-sdk/client-s3 ด้วย vi.mock</t>
        </is>
      </c>
      <c r="E24" s="24" t="inlineStr">
        <is>
          <t>1. ตั้ง AWS_S3_ENDPOINT
2. สร้าง storage adapter</t>
        </is>
      </c>
      <c r="F24" s="24" t="inlineStr">
        <is>
          <t>AWS_S3_ENDPOINT=https://acc.r2.cloudflarestorage.com</t>
        </is>
      </c>
      <c r="G24" s="24" t="inlineStr">
        <is>
          <t>S3Client ได้ endpoint ที่กำหนด และ forcePathStyle=true</t>
        </is>
      </c>
      <c r="H24" s="24" t="inlineStr">
        <is>
          <t>ผลตรงตามที่คาดหวัง — assertion ผ่านครบ (0.01 วินาที)</t>
        </is>
      </c>
      <c r="I24" s="25" t="inlineStr">
        <is>
          <t>Pass</t>
        </is>
      </c>
      <c r="J24" s="24" t="n"/>
      <c r="K24" s="24" t="n"/>
      <c r="L24" s="24" t="inlineStr">
        <is>
          <t>Node.js 22.19 · Vitest 4.1.11 · Windows 11 (ไม่ใช้ฐานข้อมูล)</t>
        </is>
      </c>
      <c r="M24" s="24" t="inlineStr">
        <is>
          <t>Vitest 4.1.11 (อัตโนมัติ)</t>
        </is>
      </c>
      <c r="N24" s="26" t="n">
        <v>46324.78216466773</v>
      </c>
      <c r="O24" s="24" t="inlineStr">
        <is>
          <t>ผลรายเคสอยู่ในไฟล์ JSON ของ Vitest (evidence-api/)</t>
        </is>
      </c>
      <c r="P24" s="24" t="inlineStr">
        <is>
          <t>สคริปต์: lib/documents/storage.test.ts
ชื่อเทสต์: storage adapter selection passes a custom endpoint through with path style addressing</t>
        </is>
      </c>
    </row>
    <row r="25" ht="60" customHeight="1">
      <c r="A25" s="23" t="inlineStr">
        <is>
          <t>TC_UNIT_STORE_003</t>
        </is>
      </c>
      <c r="B25" s="24" t="inlineStr">
        <is>
          <t>File Storage (S3)</t>
        </is>
      </c>
      <c r="C25" s="24" t="inlineStr">
        <is>
          <t>ไฟล์ที่เก็บบน AWS S3 ต้องเข้ารหัสฝั่งเซิร์ฟเวอร์ (Security)</t>
        </is>
      </c>
      <c r="D25" s="24" t="inlineStr">
        <is>
          <t>จำลอง @aws-sdk/client-s3 ด้วย vi.mock</t>
        </is>
      </c>
      <c r="E25" s="24" t="inlineStr">
        <is>
          <t>1. สร้าง adapter แบบ AWS
2. put ไฟล์ PDF</t>
        </is>
      </c>
      <c r="F25" s="24" t="inlineStr">
        <is>
          <t>key = documents/a.pdf</t>
        </is>
      </c>
      <c r="G25" s="24" t="inlineStr">
        <is>
          <t>คำสั่ง PutObject มี Bucket=nestly-files และ ServerSideEncryption=AES256</t>
        </is>
      </c>
      <c r="H25" s="24" t="inlineStr">
        <is>
          <t>ผลตรงตามที่คาดหวัง — assertion ผ่านครบ (0.01 วินาที)</t>
        </is>
      </c>
      <c r="I25" s="25" t="inlineStr">
        <is>
          <t>Pass</t>
        </is>
      </c>
      <c r="J25" s="24" t="n"/>
      <c r="K25" s="24" t="n"/>
      <c r="L25" s="24" t="inlineStr">
        <is>
          <t>Node.js 22.19 · Vitest 4.1.11 · Windows 11 (ไม่ใช้ฐานข้อมูล)</t>
        </is>
      </c>
      <c r="M25" s="24" t="inlineStr">
        <is>
          <t>Vitest 4.1.11 (อัตโนมัติ)</t>
        </is>
      </c>
      <c r="N25" s="26" t="n">
        <v>46324.78216475945</v>
      </c>
      <c r="O25" s="24" t="inlineStr">
        <is>
          <t>ผลรายเคสอยู่ในไฟล์ JSON ของ Vitest (evidence-api/)</t>
        </is>
      </c>
      <c r="P25" s="24" t="inlineStr">
        <is>
          <t>สคริปต์: lib/documents/storage.test.ts
ชื่อเทสต์: storage adapter selection asks AWS to encrypt at rest</t>
        </is>
      </c>
    </row>
    <row r="26" ht="60" customHeight="1">
      <c r="A26" s="23" t="inlineStr">
        <is>
          <t>TC_UNIT_STORE_004</t>
        </is>
      </c>
      <c r="B26" s="24" t="inlineStr">
        <is>
          <t>File Storage (S3)</t>
        </is>
      </c>
      <c r="C26" s="24" t="inlineStr">
        <is>
          <t>ไม่ส่ง header เข้ารหัสให้ endpoint ที่ไม่ใช่ AWS</t>
        </is>
      </c>
      <c r="D26" s="24" t="inlineStr">
        <is>
          <t>จำลอง @aws-sdk/client-s3 ด้วย vi.mock</t>
        </is>
      </c>
      <c r="E26" s="24" t="inlineStr">
        <is>
          <t>1. สร้าง adapter แบบ R2
2. put ไฟล์ PDF</t>
        </is>
      </c>
      <c r="F26" s="24" t="inlineStr">
        <is>
          <t>AWS_S3_ENDPOINT=R2 · key = documents/a.pdf</t>
        </is>
      </c>
      <c r="G26" s="24" t="inlineStr">
        <is>
          <t>คำสั่ง PutObject ไม่มี ServerSideEncryption</t>
        </is>
      </c>
      <c r="H26" s="24" t="inlineStr">
        <is>
          <t>ผลตรงตามที่คาดหวัง — assertion ผ่านครบ (0.01 วินาที)</t>
        </is>
      </c>
      <c r="I26" s="25" t="inlineStr">
        <is>
          <t>Pass</t>
        </is>
      </c>
      <c r="J26" s="24" t="n"/>
      <c r="K26" s="24" t="n"/>
      <c r="L26" s="24" t="inlineStr">
        <is>
          <t>Node.js 22.19 · Vitest 4.1.11 · Windows 11 (ไม่ใช้ฐานข้อมูล)</t>
        </is>
      </c>
      <c r="M26" s="24" t="inlineStr">
        <is>
          <t>Vitest 4.1.11 (อัตโนมัติ)</t>
        </is>
      </c>
      <c r="N26" s="26" t="n">
        <v>46324.7821648329</v>
      </c>
      <c r="O26" s="24" t="inlineStr">
        <is>
          <t>ผลรายเคสอยู่ในไฟล์ JSON ของ Vitest (evidence-api/)</t>
        </is>
      </c>
      <c r="P26" s="24" t="inlineStr">
        <is>
          <t>สคริปต์: lib/documents/storage.test.ts
ชื่อเทสต์: storage adapter selection omits the encryption header for a non-AWS endpoint</t>
        </is>
      </c>
    </row>
    <row r="27" ht="60" customHeight="1">
      <c r="A27" s="23" t="inlineStr">
        <is>
          <t>TC_UNIT_STORE_005</t>
        </is>
      </c>
      <c r="B27" s="24" t="inlineStr">
        <is>
          <t>File Storage (S3)</t>
        </is>
      </c>
      <c r="C27" s="24" t="inlineStr">
        <is>
          <t>กัน Path Traversal และนามสกุลอันตรายใน key ไฟล์ (Security)</t>
        </is>
      </c>
      <c r="D27" s="24" t="inlineStr">
        <is>
          <t>จำลอง @aws-sdk/client-s3 ด้วย vi.mock</t>
        </is>
      </c>
      <c r="E27" s="24" t="inlineStr">
        <is>
          <t>1. put ด้วย key ที่มี ../
2. put ด้วย key .php</t>
        </is>
      </c>
      <c r="F27" s="24" t="inlineStr">
        <is>
          <t>../../etc/passwd.pdf · documents/shell.php</t>
        </is>
      </c>
      <c r="G27" s="24" t="inlineStr">
        <is>
          <t>ทั้งสองคำสั่งถูกปฏิเสธ (throw error)</t>
        </is>
      </c>
      <c r="H27" s="24" t="inlineStr">
        <is>
          <t>ผลตรงตามที่คาดหวัง — assertion ผ่านครบ (0.01 วินาที)</t>
        </is>
      </c>
      <c r="I27" s="25" t="inlineStr">
        <is>
          <t>Pass</t>
        </is>
      </c>
      <c r="J27" s="24" t="n"/>
      <c r="K27" s="24" t="n"/>
      <c r="L27" s="24" t="inlineStr">
        <is>
          <t>Node.js 22.19 · Vitest 4.1.11 · Windows 11 (ไม่ใช้ฐานข้อมูล)</t>
        </is>
      </c>
      <c r="M27" s="24" t="inlineStr">
        <is>
          <t>Vitest 4.1.11 (อัตโนมัติ)</t>
        </is>
      </c>
      <c r="N27" s="26" t="n">
        <v>46324.7821649228</v>
      </c>
      <c r="O27" s="24" t="inlineStr">
        <is>
          <t>ผลรายเคสอยู่ในไฟล์ JSON ของ Vitest (evidence-api/)</t>
        </is>
      </c>
      <c r="P27" s="24" t="inlineStr">
        <is>
          <t>สคริปต์: lib/documents/storage.test.ts
ชื่อเทสต์: storage adapter selection refuses a key that climbs out of its folder</t>
        </is>
      </c>
    </row>
    <row r="28" ht="60" customHeight="1">
      <c r="A28" s="23" t="inlineStr">
        <is>
          <t>TC_UNIT_TPL_001</t>
        </is>
      </c>
      <c r="B28" s="24" t="inlineStr">
        <is>
          <t>Document Templates</t>
        </is>
      </c>
      <c r="C28" s="24" t="inlineStr">
        <is>
          <t>ค่าที่แทนในเทมเพลตเอกสารต้องถูก escape กัน XSS (Security)</t>
        </is>
      </c>
      <c r="D28" s="24" t="inlineStr">
        <is>
          <t>ไม่ต้องใช้ฐานข้อมูล · เรียกฟังก์ชันโดยตรงใน Vitest</t>
        </is>
      </c>
      <c r="E28" s="24" t="inlineStr">
        <is>
          <t>1. เรียก renderTemplate() โดยชื่อผู้เช่ามีแท็ก script</t>
        </is>
      </c>
      <c r="F28" s="24" t="inlineStr">
        <is>
          <t>tenant_name = "&lt;script&gt;alert(1)&lt;/script&gt;"</t>
        </is>
      </c>
      <c r="G28" s="24" t="inlineStr">
        <is>
          <t>ผลลัพธ์มี &amp;lt;script&amp;gt; และไม่มีแท็ก &lt;script&gt; จริง</t>
        </is>
      </c>
      <c r="H28" s="24" t="inlineStr">
        <is>
          <t>ผลตรงตามที่คาดหวัง — assertion ผ่านครบ (0.01 วินาที)</t>
        </is>
      </c>
      <c r="I28" s="25" t="inlineStr">
        <is>
          <t>Pass</t>
        </is>
      </c>
      <c r="J28" s="24" t="n"/>
      <c r="K28" s="24" t="n"/>
      <c r="L28" s="24" t="inlineStr">
        <is>
          <t>Node.js 22.19 · Vitest 4.1.11 · Windows 11 (ไม่ใช้ฐานข้อมูล)</t>
        </is>
      </c>
      <c r="M28" s="24" t="inlineStr">
        <is>
          <t>Vitest 4.1.11 (อัตโนมัติ)</t>
        </is>
      </c>
      <c r="N28" s="26" t="n">
        <v>46324.78216925926</v>
      </c>
      <c r="O28" s="24" t="inlineStr">
        <is>
          <t>ผลรายเคสอยู่ในไฟล์ JSON ของ Vitest (evidence-api/)</t>
        </is>
      </c>
      <c r="P28" s="24" t="inlineStr">
        <is>
          <t>สคริปต์: lib/documents/templates.test.ts
ชื่อเทสต์: document templates escapes mapped values before inserting them into HTML</t>
        </is>
      </c>
    </row>
    <row r="29" ht="60" customHeight="1">
      <c r="A29" s="23" t="inlineStr">
        <is>
          <t>TC_UNIT_TPL_002</t>
        </is>
      </c>
      <c r="B29" s="24" t="inlineStr">
        <is>
          <t>Document Templates</t>
        </is>
      </c>
      <c r="C29" s="24" t="inlineStr">
        <is>
          <t>ลบ script และ event handler ออกจากเทมเพลต (Security)</t>
        </is>
      </c>
      <c r="D29" s="24" t="inlineStr">
        <is>
          <t>ไม่ต้องใช้ฐานข้อมูล · เรียกฟังก์ชันโดยตรงใน Vitest</t>
        </is>
      </c>
      <c r="E29" s="24" t="inlineStr">
        <is>
          <t>1. เรียก sanitizeTemplate() กับ HTML ที่มี onclick และ &lt;script&gt;</t>
        </is>
      </c>
      <c r="F29" s="24" t="inlineStr">
        <is>
          <t>&lt;p onclick="alert(1)"&gt;ข้อความ&lt;/p&gt;&lt;script&gt;…&lt;/script&gt;</t>
        </is>
      </c>
      <c r="G29" s="24" t="inlineStr">
        <is>
          <t>ได้ "&lt;p&gt;ข้อความ&lt;/p&gt;"</t>
        </is>
      </c>
      <c r="H29" s="24" t="inlineStr">
        <is>
          <t>ผลตรงตามที่คาดหวัง — assertion ผ่านครบ (0.00 วินาที)</t>
        </is>
      </c>
      <c r="I29" s="25" t="inlineStr">
        <is>
          <t>Pass</t>
        </is>
      </c>
      <c r="J29" s="24" t="n"/>
      <c r="K29" s="24" t="n"/>
      <c r="L29" s="24" t="inlineStr">
        <is>
          <t>Node.js 22.19 · Vitest 4.1.11 · Windows 11 (ไม่ใช้ฐานข้อมูล)</t>
        </is>
      </c>
      <c r="M29" s="24" t="inlineStr">
        <is>
          <t>Vitest 4.1.11 (อัตโนมัติ)</t>
        </is>
      </c>
      <c r="N29" s="26" t="n">
        <v>46324.78216935672</v>
      </c>
      <c r="O29" s="24" t="inlineStr">
        <is>
          <t>ผลรายเคสอยู่ในไฟล์ JSON ของ Vitest (evidence-api/)</t>
        </is>
      </c>
      <c r="P29" s="24" t="inlineStr">
        <is>
          <t>สคริปต์: lib/documents/templates.test.ts
ชื่อเทสต์: document templates removes scripts and event handlers</t>
        </is>
      </c>
    </row>
    <row r="30" ht="60" customHeight="1">
      <c r="A30" s="23" t="inlineStr">
        <is>
          <t>TC_UNIT_TPL_003</t>
        </is>
      </c>
      <c r="B30" s="24" t="inlineStr">
        <is>
          <t>Document Templates</t>
        </is>
      </c>
      <c r="C30" s="24" t="inlineStr">
        <is>
          <t>เก็บเฉพาะ style ที่อยู่ใน allowlist</t>
        </is>
      </c>
      <c r="D30" s="24" t="inlineStr">
        <is>
          <t>ไม่ต้องใช้ฐานข้อมูล · เรียกฟังก์ชันโดยตรงใน Vitest</t>
        </is>
      </c>
      <c r="E30" s="24" t="inlineStr">
        <is>
          <t>1. sanitize HTML ที่มี color, background-color, font-size, font-family, position
2. sanitize style ที่ค่าผิด</t>
        </is>
      </c>
      <c r="F30" s="24" t="inlineStr">
        <is>
          <t>font-size:999px · color:expression(alert(1)) · position:fixed</t>
        </is>
      </c>
      <c r="G30" s="24" t="inlineStr">
        <is>
          <t>คง color/background-color/font-size/font-family ที่ถูกต้อง ตัด position และค่าที่ผิดรูปแบบทิ้ง</t>
        </is>
      </c>
      <c r="H30" s="24" t="inlineStr">
        <is>
          <t>ผลตรงตามที่คาดหวัง — assertion ผ่านครบ (0.01 วินาที)</t>
        </is>
      </c>
      <c r="I30" s="25" t="inlineStr">
        <is>
          <t>Pass</t>
        </is>
      </c>
      <c r="J30" s="24" t="n"/>
      <c r="K30" s="24" t="n"/>
      <c r="L30" s="24" t="inlineStr">
        <is>
          <t>Node.js 22.19 · Vitest 4.1.11 · Windows 11 (ไม่ใช้ฐานข้อมูล)</t>
        </is>
      </c>
      <c r="M30" s="24" t="inlineStr">
        <is>
          <t>Vitest 4.1.11 (อัตโนมัติ)</t>
        </is>
      </c>
      <c r="N30" s="26" t="n">
        <v>46324.78216938801</v>
      </c>
      <c r="O30" s="24" t="inlineStr">
        <is>
          <t>ผลรายเคสอยู่ในไฟล์ JSON ของ Vitest (evidence-api/)</t>
        </is>
      </c>
      <c r="P30" s="24" t="inlineStr">
        <is>
          <t>สคริปต์: lib/documents/templates.test.ts
ชื่อเทสต์: document templates keeps only allowlisted rich-text styles</t>
        </is>
      </c>
    </row>
    <row r="31" ht="60" customHeight="1">
      <c r="A31" s="23" t="inlineStr">
        <is>
          <t>TC_UNIT_TPL_004</t>
        </is>
      </c>
      <c r="B31" s="24" t="inlineStr">
        <is>
          <t>Document Templates</t>
        </is>
      </c>
      <c r="C31" s="24" t="inlineStr">
        <is>
          <t>ปฏิเสธรูปจากภายนอก (กัน SSRF/ติดตามผู้ใช้) และรูปที่ข้อมูลไม่ตรงชนิด</t>
        </is>
      </c>
      <c r="D31" s="24" t="inlineStr">
        <is>
          <t>ไม่ต้องใช้ฐานข้อมูล · เรียกฟังก์ชันโดยตรงใน Vitest</t>
        </is>
      </c>
      <c r="E31" s="24" t="inlineStr">
        <is>
          <t>1. sanitize &lt;img src=https://…&gt;
2. sanitize &lt;img&gt; base64 ที่ไม่ใช่ PNG จริง</t>
        </is>
      </c>
      <c r="F31" s="24" t="inlineStr">
        <is>
          <t>https://example.com/a.png · data:image/png;base64,dGV4dA==</t>
        </is>
      </c>
      <c r="G31" s="24" t="inlineStr">
        <is>
          <t>แจ้ง "รองรับเฉพาะรูป…" และ "ข้อมูลรูปภาพไม่ตรงกับชนิดไฟล์"</t>
        </is>
      </c>
      <c r="H31" s="24" t="inlineStr">
        <is>
          <t>ผลตรงตามที่คาดหวัง — assertion ผ่านครบ (0.00 วินาที)</t>
        </is>
      </c>
      <c r="I31" s="25" t="inlineStr">
        <is>
          <t>Pass</t>
        </is>
      </c>
      <c r="J31" s="24" t="n"/>
      <c r="K31" s="24" t="n"/>
      <c r="L31" s="24" t="inlineStr">
        <is>
          <t>Node.js 22.19 · Vitest 4.1.11 · Windows 11 (ไม่ใช้ฐานข้อมูล)</t>
        </is>
      </c>
      <c r="M31" s="24" t="inlineStr">
        <is>
          <t>Vitest 4.1.11 (อัตโนมัติ)</t>
        </is>
      </c>
      <c r="N31" s="26" t="n">
        <v>46324.78216946103</v>
      </c>
      <c r="O31" s="24" t="inlineStr">
        <is>
          <t>ผลรายเคสอยู่ในไฟล์ JSON ของ Vitest (evidence-api/)</t>
        </is>
      </c>
      <c r="P31" s="24" t="inlineStr">
        <is>
          <t>สคริปต์: lib/documents/templates.test.ts
ชื่อเทสต์: document templates rejects remote images and files with forged image data</t>
        </is>
      </c>
    </row>
    <row r="32" ht="60" customHeight="1">
      <c r="A32" s="23" t="inlineStr">
        <is>
          <t>TC_UNIT_TPL_005</t>
        </is>
      </c>
      <c r="B32" s="24" t="inlineStr">
        <is>
          <t>Document Templates</t>
        </is>
      </c>
      <c r="C32" s="24" t="inlineStr">
        <is>
          <t>รูปฝังที่ตรวจแล้วยังอยู่ พร้อม attribute ที่ปลอดภัย</t>
        </is>
      </c>
      <c r="D32" s="24" t="inlineStr">
        <is>
          <t>ไม่ต้องใช้ฐานข้อมูล · เรียกฟังก์ชันโดยตรงใน Vitest</t>
        </is>
      </c>
      <c r="E32" s="24" t="inlineStr">
        <is>
          <t>1. sanitize &lt;img&gt; PNG ฝังที่มี class, alt, width, onerror</t>
        </is>
      </c>
      <c r="F32" s="24" t="inlineStr">
        <is>
          <t>onerror="alert(1)" · src=data:image/png;base64,iVBORw0KGgo=</t>
        </is>
      </c>
      <c r="G32" s="24" t="inlineStr">
        <is>
          <t>คง class และ src ไว้ แต่ตัด onerror ทิ้ง</t>
        </is>
      </c>
      <c r="H32" s="24" t="inlineStr">
        <is>
          <t>ผลตรงตามที่คาดหวัง — assertion ผ่านครบ (0.00 วินาที)</t>
        </is>
      </c>
      <c r="I32" s="25" t="inlineStr">
        <is>
          <t>Pass</t>
        </is>
      </c>
      <c r="J32" s="24" t="n"/>
      <c r="K32" s="24" t="n"/>
      <c r="L32" s="24" t="inlineStr">
        <is>
          <t>Node.js 22.19 · Vitest 4.1.11 · Windows 11 (ไม่ใช้ฐานข้อมูล)</t>
        </is>
      </c>
      <c r="M32" s="24" t="inlineStr">
        <is>
          <t>Vitest 4.1.11 (อัตโนมัติ)</t>
        </is>
      </c>
      <c r="N32" s="26" t="n">
        <v>46324.78216949246</v>
      </c>
      <c r="O32" s="24" t="inlineStr">
        <is>
          <t>ผลรายเคสอยู่ในไฟล์ JSON ของ Vitest (evidence-api/)</t>
        </is>
      </c>
      <c r="P32" s="24" t="inlineStr">
        <is>
          <t>สคริปต์: lib/documents/templates.test.ts
ชื่อเทสต์: document templates keeps a validated embedded image and its safe presentation attributes</t>
        </is>
      </c>
    </row>
    <row r="33" ht="60" customHeight="1">
      <c r="A33" s="23" t="inlineStr">
        <is>
          <t>TC_UNIT_TPL_006</t>
        </is>
      </c>
      <c r="B33" s="24" t="inlineStr">
        <is>
          <t>Document Templates</t>
        </is>
      </c>
      <c r="C33" s="24" t="inlineStr">
        <is>
          <t>ตรวจรูปได้ทั้งแบบ ' และ " และมีช่องว่างรอบ =</t>
        </is>
      </c>
      <c r="D33" s="24" t="inlineStr">
        <is>
          <t>ไม่ต้องใช้ฐานข้อมูล · เรียกฟังก์ชันโดยตรงใน Vitest</t>
        </is>
      </c>
      <c r="E33" s="24" t="inlineStr">
        <is>
          <t>1. sanitize &lt;img src='…'&gt;
2. sanitize &lt;img src = "…"&gt;</t>
        </is>
      </c>
      <c r="F33" s="24" t="inlineStr">
        <is>
          <t>https://example.com/a.png</t>
        </is>
      </c>
      <c r="G33" s="24" t="inlineStr">
        <is>
          <t>ทั้งสองกรณีแจ้ง "รองรับเฉพาะรูป…"</t>
        </is>
      </c>
      <c r="H33" s="24" t="inlineStr">
        <is>
          <t>ผลตรงตามที่คาดหวัง — assertion ผ่านครบ (0.00 วินาที)</t>
        </is>
      </c>
      <c r="I33" s="25" t="inlineStr">
        <is>
          <t>Pass</t>
        </is>
      </c>
      <c r="J33" s="24" t="n"/>
      <c r="K33" s="24" t="n"/>
      <c r="L33" s="24" t="inlineStr">
        <is>
          <t>Node.js 22.19 · Vitest 4.1.11 · Windows 11 (ไม่ใช้ฐานข้อมูล)</t>
        </is>
      </c>
      <c r="M33" s="24" t="inlineStr">
        <is>
          <t>Vitest 4.1.11 (อัตโนมัติ)</t>
        </is>
      </c>
      <c r="N33" s="26" t="n">
        <v>46324.78216951779</v>
      </c>
      <c r="O33" s="24" t="inlineStr">
        <is>
          <t>ผลรายเคสอยู่ในไฟล์ JSON ของ Vitest (evidence-api/)</t>
        </is>
      </c>
      <c r="P33" s="24" t="inlineStr">
        <is>
          <t>สคริปต์: lib/documents/templates.test.ts
ชื่อเทสต์: document templates finds an embedded image regardless of which quote style wraps the source</t>
        </is>
      </c>
    </row>
    <row r="34" ht="60" customHeight="1">
      <c r="A34" s="23" t="inlineStr">
        <is>
          <t>TC_UNIT_TPL_007</t>
        </is>
      </c>
      <c r="B34" s="24" t="inlineStr">
        <is>
          <t>Document Templates</t>
        </is>
      </c>
      <c r="C34" s="24" t="inlineStr">
        <is>
          <t>เทมเพลตที่จงใจทำให้ regex ช้า ต้องประมวลผลได้เร็ว (กัน ReDoS)</t>
        </is>
      </c>
      <c r="D34" s="24" t="inlineStr">
        <is>
          <t>ไม่ต้องใช้ฐานข้อมูล · เรียกฟังก์ชันโดยตรงใน Vitest</t>
        </is>
      </c>
      <c r="E34" s="24" t="inlineStr">
        <is>
          <t>1. สร้างสตริง &lt;img src=" ตามด้วย " 200,000 ตัว
2. จับเวลา sanitizeTemplate()</t>
        </is>
      </c>
      <c r="F34" s="24" t="inlineStr">
        <is>
          <t>"\"" × 200,000</t>
        </is>
      </c>
      <c r="G34" s="24" t="inlineStr">
        <is>
          <t>ใช้เวลาน้อยกว่า 1,000 ms</t>
        </is>
      </c>
      <c r="H34" s="24" t="inlineStr">
        <is>
          <t>ผลตรงตามที่คาดหวัง — assertion ผ่านครบ (0.01 วินาที)</t>
        </is>
      </c>
      <c r="I34" s="25" t="inlineStr">
        <is>
          <t>Pass</t>
        </is>
      </c>
      <c r="J34" s="24" t="n"/>
      <c r="K34" s="24" t="n"/>
      <c r="L34" s="24" t="inlineStr">
        <is>
          <t>Node.js 22.19 · Vitest 4.1.11 · Windows 11 (ไม่ใช้ฐานข้อมูล)</t>
        </is>
      </c>
      <c r="M34" s="24" t="inlineStr">
        <is>
          <t>Vitest 4.1.11 (อัตโนมัติ)</t>
        </is>
      </c>
      <c r="N34" s="26" t="n">
        <v>46324.78216952777</v>
      </c>
      <c r="O34" s="24" t="inlineStr">
        <is>
          <t>ผลรายเคสอยู่ในไฟล์ JSON ของ Vitest (evidence-api/)</t>
        </is>
      </c>
      <c r="P34" s="24" t="inlineStr">
        <is>
          <t>สคริปต์: lib/documents/templates.test.ts
ชื่อเทสต์: document templates scans a hostile template without super-linear slowdown</t>
        </is>
      </c>
    </row>
    <row r="35" ht="60" customHeight="1">
      <c r="A35" s="23" t="inlineStr">
        <is>
          <t>TC_UNIT_TPL_008</t>
        </is>
      </c>
      <c r="B35" s="24" t="inlineStr">
        <is>
          <t>Document Templates</t>
        </is>
      </c>
      <c r="C35" s="24" t="inlineStr">
        <is>
          <t>ใช้ได้เฉพาะ placeholder ที่อนุญาตของเอกสารแต่ละชนิด</t>
        </is>
      </c>
      <c r="D35" s="24" t="inlineStr">
        <is>
          <t>ไม่ต้องใช้ฐานข้อมูล · เรียกฟังก์ชันโดยตรงใน Vitest</t>
        </is>
      </c>
      <c r="E35" s="24" t="inlineStr">
        <is>
          <t>1. เรียก validateTemplatePlaceholders("invoice", …)</t>
        </is>
      </c>
      <c r="F35" s="24" t="inlineStr">
        <is>
          <t>{{tenant_name}} {{tenant_password}}</t>
        </is>
      </c>
      <c r="G35" s="24" t="inlineStr">
        <is>
          <t>คืนรายการที่ไม่อนุญาต ["tenant_password"]</t>
        </is>
      </c>
      <c r="H35" s="24" t="inlineStr">
        <is>
          <t>ผลตรงตามที่คาดหวัง — assertion ผ่านครบ (0.00 วินาที)</t>
        </is>
      </c>
      <c r="I35" s="25" t="inlineStr">
        <is>
          <t>Pass</t>
        </is>
      </c>
      <c r="J35" s="24" t="n"/>
      <c r="K35" s="24" t="n"/>
      <c r="L35" s="24" t="inlineStr">
        <is>
          <t>Node.js 22.19 · Vitest 4.1.11 · Windows 11 (ไม่ใช้ฐานข้อมูล)</t>
        </is>
      </c>
      <c r="M35" s="24" t="inlineStr">
        <is>
          <t>Vitest 4.1.11 (อัตโนมัติ)</t>
        </is>
      </c>
      <c r="N35" s="26" t="n">
        <v>46324.7821696959</v>
      </c>
      <c r="O35" s="24" t="inlineStr">
        <is>
          <t>ผลรายเคสอยู่ในไฟล์ JSON ของ Vitest (evidence-api/)</t>
        </is>
      </c>
      <c r="P35" s="24" t="inlineStr">
        <is>
          <t>สคริปต์: lib/documents/templates.test.ts
ชื่อเทสต์: document templates rejects placeholders outside the kind allowlist</t>
        </is>
      </c>
    </row>
    <row r="36" ht="60" customHeight="1">
      <c r="A36" s="23" t="inlineStr">
        <is>
          <t>TC_UNIT_TPL_009</t>
        </is>
      </c>
      <c r="B36" s="24" t="inlineStr">
        <is>
          <t>Document Templates</t>
        </is>
      </c>
      <c r="C36" s="24" t="inlineStr">
        <is>
          <t>หน้าแก้ไขเอกสารกับไฟล์พิมพ์ใช้ CSS ชุดเดียวกัน</t>
        </is>
      </c>
      <c r="D36" s="24" t="inlineStr">
        <is>
          <t>ไม่ต้องใช้ฐานข้อมูล · เรียกฟังก์ชันโดยตรงใน Vitest</t>
        </is>
      </c>
      <c r="E36" s="24" t="inlineStr">
        <is>
          <t>1. เรียก getDocumentContentCss()
2. เรียก wrapPrintableHtml()</t>
        </is>
      </c>
      <c r="F36" s="24" t="inlineStr">
        <is>
          <t>signature-line · text-center · table</t>
        </is>
      </c>
      <c r="G36" s="24" t="inlineStr">
        <is>
          <t>ทั้งสองมีกฎ .signature-line, .text-center และ table ตรงกัน</t>
        </is>
      </c>
      <c r="H36" s="24" t="inlineStr">
        <is>
          <t>ผลตรงตามที่คาดหวัง — assertion ผ่านครบ (0.00 วินาที)</t>
        </is>
      </c>
      <c r="I36" s="25" t="inlineStr">
        <is>
          <t>Pass</t>
        </is>
      </c>
      <c r="J36" s="24" t="n"/>
      <c r="K36" s="24" t="n"/>
      <c r="L36" s="24" t="inlineStr">
        <is>
          <t>Node.js 22.19 · Vitest 4.1.11 · Windows 11 (ไม่ใช้ฐานข้อมูล)</t>
        </is>
      </c>
      <c r="M36" s="24" t="inlineStr">
        <is>
          <t>Vitest 4.1.11 (อัตโนมัติ)</t>
        </is>
      </c>
      <c r="N36" s="26" t="n">
        <v>46324.78216971667</v>
      </c>
      <c r="O36" s="24" t="inlineStr">
        <is>
          <t>ผลรายเคสอยู่ในไฟล์ JSON ของ Vitest (evidence-api/)</t>
        </is>
      </c>
      <c r="P36" s="24" t="inlineStr">
        <is>
          <t>สคริปต์: lib/documents/templates.test.ts
ชื่อเทสต์: document templates uses the same document rules for the editor and printable output</t>
        </is>
      </c>
    </row>
    <row r="37" ht="60" customHeight="1">
      <c r="A37" s="23" t="inlineStr">
        <is>
          <t>TC_UNIT_APPROVE_001</t>
        </is>
      </c>
      <c r="B37" s="24" t="inlineStr">
        <is>
          <t>Account Approval</t>
        </is>
      </c>
      <c r="C37" s="24" t="inlineStr">
        <is>
          <t>อนุมัติบัญชีโดยไม่ต้องใส่เหตุผล</t>
        </is>
      </c>
      <c r="D37" s="24" t="inlineStr">
        <is>
          <t>ไม่ต้องใช้ฐานข้อมูล · เรียกฟังก์ชันโดยตรงใน Vitest</t>
        </is>
      </c>
      <c r="E37" s="24" t="inlineStr">
        <is>
          <t>1. parse { status: APPROVED }</t>
        </is>
      </c>
      <c r="F37" s="24" t="inlineStr">
        <is>
          <t>status = APPROVED</t>
        </is>
      </c>
      <c r="G37" s="24" t="inlineStr">
        <is>
          <t>ผ่านการตรวจ ได้ { status: APPROVED }</t>
        </is>
      </c>
      <c r="H37" s="24" t="inlineStr">
        <is>
          <t>ผลตรงตามที่คาดหวัง — assertion ผ่านครบ (0.02 วินาที)</t>
        </is>
      </c>
      <c r="I37" s="25" t="inlineStr">
        <is>
          <t>Pass</t>
        </is>
      </c>
      <c r="J37" s="24" t="n"/>
      <c r="K37" s="24" t="n"/>
      <c r="L37" s="24" t="inlineStr">
        <is>
          <t>Node.js 22.19 · Vitest 4.1.11 · Windows 11 (ไม่ใช้ฐานข้อมูล)</t>
        </is>
      </c>
      <c r="M37" s="24" t="inlineStr">
        <is>
          <t>Vitest 4.1.11 (อัตโนมัติ)</t>
        </is>
      </c>
      <c r="N37" s="26" t="n">
        <v>46324.78216409723</v>
      </c>
      <c r="O37" s="24" t="inlineStr">
        <is>
          <t>ผลรายเคสอยู่ในไฟล์ JSON ของ Vitest (evidence-api/)</t>
        </is>
      </c>
      <c r="P37" s="24" t="inlineStr">
        <is>
          <t>สคริปต์: lib/domain/account-approval.test.ts
ชื่อเทสต์: account approval validation accepts approval without a rejection reason</t>
        </is>
      </c>
    </row>
    <row r="38" ht="60" customHeight="1">
      <c r="A38" s="23" t="inlineStr">
        <is>
          <t>TC_UNIT_APPROVE_002</t>
        </is>
      </c>
      <c r="B38" s="24" t="inlineStr">
        <is>
          <t>Account Approval</t>
        </is>
      </c>
      <c r="C38" s="24" t="inlineStr">
        <is>
          <t>ปฏิเสธบัญชีต้องระบุเหตุผล</t>
        </is>
      </c>
      <c r="D38" s="24" t="inlineStr">
        <is>
          <t>ไม่ต้องใช้ฐานข้อมูล · เรียกฟังก์ชันโดยตรงใน Vitest</t>
        </is>
      </c>
      <c r="E38" s="24" t="inlineStr">
        <is>
          <t>1. parse REJECTED ไม่มีเหตุผล
2. parse REJECTED พร้อมเหตุผล</t>
        </is>
      </c>
      <c r="F38" s="24" t="inlineStr">
        <is>
          <t>rejectionReason = "ข้อมูลผู้สมัครไม่ครบถ้วน"</t>
        </is>
      </c>
      <c r="G38" s="24" t="inlineStr">
        <is>
          <t>กรณีที่ 1 ถูกปฏิเสธ · กรณีที่ 2 ผ่าน</t>
        </is>
      </c>
      <c r="H38" s="24" t="inlineStr">
        <is>
          <t>ผลตรงตามที่คาดหวัง — assertion ผ่านครบ (0.00 วินาที)</t>
        </is>
      </c>
      <c r="I38" s="25" t="inlineStr">
        <is>
          <t>Pass</t>
        </is>
      </c>
      <c r="J38" s="24" t="n"/>
      <c r="K38" s="24" t="n"/>
      <c r="L38" s="24" t="inlineStr">
        <is>
          <t>Node.js 22.19 · Vitest 4.1.11 · Windows 11 (ไม่ใช้ฐานข้อมูล)</t>
        </is>
      </c>
      <c r="M38" s="24" t="inlineStr">
        <is>
          <t>Vitest 4.1.11 (อัตโนมัติ)</t>
        </is>
      </c>
      <c r="N38" s="26" t="n">
        <v>46324.78216431374</v>
      </c>
      <c r="O38" s="24" t="inlineStr">
        <is>
          <t>ผลรายเคสอยู่ในไฟล์ JSON ของ Vitest (evidence-api/)</t>
        </is>
      </c>
      <c r="P38" s="24" t="inlineStr">
        <is>
          <t>สคริปต์: lib/domain/account-approval.test.ts
ชื่อเทสต์: account approval validation requires a reason when rejecting an account</t>
        </is>
      </c>
    </row>
    <row r="39" ht="60" customHeight="1">
      <c r="A39" s="23" t="inlineStr">
        <is>
          <t>TC_UNIT_APPROVE_003</t>
        </is>
      </c>
      <c r="B39" s="24" t="inlineStr">
        <is>
          <t>Account Approval</t>
        </is>
      </c>
      <c r="C39" s="24" t="inlineStr">
        <is>
          <t>ปฏิเสธฟิลด์ที่ไม่รู้จัก (กัน Mass Assignment)</t>
        </is>
      </c>
      <c r="D39" s="24" t="inlineStr">
        <is>
          <t>ไม่ต้องใช้ฐานข้อมูล · เรียกฟังก์ชันโดยตรงใน Vitest</t>
        </is>
      </c>
      <c r="E39" s="24" t="inlineStr">
        <is>
          <t>1. parse APPROVED พร้อม rejectionReason
2. parse APPROVED พร้อม isActive</t>
        </is>
      </c>
      <c r="F39" s="24" t="inlineStr">
        <is>
          <t>rejectionReason · isActive=true</t>
        </is>
      </c>
      <c r="G39" s="24" t="inlineStr">
        <is>
          <t>ทั้งสองกรณีถูกปฏิเสธ</t>
        </is>
      </c>
      <c r="H39" s="24" t="inlineStr">
        <is>
          <t>ผลตรงตามที่คาดหวัง — assertion ผ่านครบ (0.00 วินาที)</t>
        </is>
      </c>
      <c r="I39" s="25" t="inlineStr">
        <is>
          <t>Pass</t>
        </is>
      </c>
      <c r="J39" s="24" t="n"/>
      <c r="K39" s="24" t="n"/>
      <c r="L39" s="24" t="inlineStr">
        <is>
          <t>Node.js 22.19 · Vitest 4.1.11 · Windows 11 (ไม่ใช้ฐานข้อมูล)</t>
        </is>
      </c>
      <c r="M39" s="24" t="inlineStr">
        <is>
          <t>Vitest 4.1.11 (อัตโนมัติ)</t>
        </is>
      </c>
      <c r="N39" s="26" t="n">
        <v>46324.78216437141</v>
      </c>
      <c r="O39" s="24" t="inlineStr">
        <is>
          <t>ผลรายเคสอยู่ในไฟล์ JSON ของ Vitest (evidence-api/)</t>
        </is>
      </c>
      <c r="P39" s="24" t="inlineStr">
        <is>
          <t>สคริปต์: lib/domain/account-approval.test.ts
ชื่อเทสต์: account approval validation rejects unknown fields and reasons attached to approval</t>
        </is>
      </c>
    </row>
    <row r="40" ht="60" customHeight="1">
      <c r="A40" s="23" t="inlineStr">
        <is>
          <t>TC_UNIT_BILL_001</t>
        </is>
      </c>
      <c r="B40" s="24" t="inlineStr">
        <is>
          <t>Billing</t>
        </is>
      </c>
      <c r="C40" s="24" t="inlineStr">
        <is>
          <t>ยกเลิกบิลต้องมี version และเหตุผล</t>
        </is>
      </c>
      <c r="D40" s="24" t="inlineStr">
        <is>
          <t>ไม่ต้องใช้ฐานข้อมูล · เรียกฟังก์ชันโดยตรงใน Vitest</t>
        </is>
      </c>
      <c r="E40" s="24" t="inlineStr">
        <is>
          <t>1. ตรวจข้อมูลครบ
2. ตรวจเหตุผลว่าง
3. ตรวจไม่มี version</t>
        </is>
      </c>
      <c r="F40" s="24" t="inlineStr">
        <is>
          <t>version = 2 · reason = "ออกบิลผิดห้อง"</t>
        </is>
      </c>
      <c r="G40" s="24" t="inlineStr">
        <is>
          <t>ข้อมูลครบผ่าน · เหตุผลว่างหรือไม่มี version ถูกปฏิเสธ</t>
        </is>
      </c>
      <c r="H40" s="24" t="inlineStr">
        <is>
          <t>ผลตรงตามที่คาดหวัง — assertion ผ่านครบ (0.01 วินาที)</t>
        </is>
      </c>
      <c r="I40" s="25" t="inlineStr">
        <is>
          <t>Pass</t>
        </is>
      </c>
      <c r="J40" s="24" t="n"/>
      <c r="K40" s="24" t="n"/>
      <c r="L40" s="24" t="inlineStr">
        <is>
          <t>Node.js 22.19 · Vitest 4.1.11 · Windows 11 (ไม่ใช้ฐานข้อมูล)</t>
        </is>
      </c>
      <c r="M40" s="24" t="inlineStr">
        <is>
          <t>Vitest 4.1.11 (อัตโนมัติ)</t>
        </is>
      </c>
      <c r="N40" s="26" t="n">
        <v>46324.78217195602</v>
      </c>
      <c r="O40" s="24" t="inlineStr">
        <is>
          <t>ผลรายเคสอยู่ในไฟล์ JSON ของ Vitest (evidence-api/)</t>
        </is>
      </c>
      <c r="P40" s="24" t="inlineStr">
        <is>
          <t>สคริปต์: lib/domain/billing-cancellation.test.ts
ชื่อเทสต์: invoice cancellation validation requires a version and meaningful reason</t>
        </is>
      </c>
    </row>
    <row r="41" ht="60" customHeight="1">
      <c r="A41" s="23" t="inlineStr">
        <is>
          <t>TC_UNIT_BILL_002</t>
        </is>
      </c>
      <c r="B41" s="24" t="inlineStr">
        <is>
          <t>Billing</t>
        </is>
      </c>
      <c r="C41" s="24" t="inlineStr">
        <is>
          <t>คำนวณค่าเช่า + ค่าน้ำ + ค่าไฟ ปัดทศนิยม 2 ตำแหน่ง</t>
        </is>
      </c>
      <c r="D41" s="24" t="inlineStr">
        <is>
          <t>ไม่ต้องใช้ฐานข้อมูล · เรียกฟังก์ชันโดยตรงใน Vitest</t>
        </is>
      </c>
      <c r="E41" s="24" t="inlineStr">
        <is>
          <t>1. เรียก calculateInvoice()</t>
        </is>
      </c>
      <c r="F41" s="24" t="inlineStr">
        <is>
          <t>ค่าเช่า 3,000 · น้ำ 7.5 หน่วย × 10 · ไฟ 12.345 หน่วย × 8</t>
        </is>
      </c>
      <c r="G41" s="24" t="inlineStr">
        <is>
          <t>ยอดรวม 3,173.76 บาท และมี 3 รายการ</t>
        </is>
      </c>
      <c r="H41" s="24" t="inlineStr">
        <is>
          <t>ผลตรงตามที่คาดหวัง — assertion ผ่านครบ (0.00 วินาที)</t>
        </is>
      </c>
      <c r="I41" s="25" t="inlineStr">
        <is>
          <t>Pass</t>
        </is>
      </c>
      <c r="J41" s="24" t="n"/>
      <c r="K41" s="24" t="n"/>
      <c r="L41" s="24" t="inlineStr">
        <is>
          <t>Node.js 22.19 · Vitest 4.1.11 · Windows 11 (ไม่ใช้ฐานข้อมูล)</t>
        </is>
      </c>
      <c r="M41" s="24" t="inlineStr">
        <is>
          <t>Vitest 4.1.11 (อัตโนมัติ)</t>
        </is>
      </c>
      <c r="N41" s="26" t="n">
        <v>46324.78216488426</v>
      </c>
      <c r="O41" s="24" t="inlineStr">
        <is>
          <t>ผลรายเคสอยู่ในไฟล์ JSON ของ Vitest (evidence-api/)</t>
        </is>
      </c>
      <c r="P41" s="24" t="inlineStr">
        <is>
          <t>สคริปต์: lib/domain/billing.test.ts
ชื่อเทสต์: billing rules calculates rent and metered utilities with two-decimal rounding</t>
        </is>
      </c>
    </row>
    <row r="42" ht="60" customHeight="1">
      <c r="A42" s="23" t="inlineStr">
        <is>
          <t>TC_UNIT_BILL_003</t>
        </is>
      </c>
      <c r="B42" s="24" t="inlineStr">
        <is>
          <t>Billing</t>
        </is>
      </c>
      <c r="C42" s="24" t="inlineStr">
        <is>
          <t>วันครบกำหนดน้อยกว่าวันออกบิล ต้องเลื่อนไปเดือนถัดไป (Boundary)</t>
        </is>
      </c>
      <c r="D42" s="24" t="inlineStr">
        <is>
          <t>ไม่ต้องใช้ฐานข้อมูล · เรียกฟังก์ชันโดยตรงใน Vitest</t>
        </is>
      </c>
      <c r="E42" s="24" t="inlineStr">
        <is>
          <t>1. เรียก calculateDueDate()</t>
        </is>
      </c>
      <c r="F42" s="24" t="inlineStr">
        <is>
          <t>เดือน 2026-07 · วันออกบิล 28 · วันครบกำหนด 5</t>
        </is>
      </c>
      <c r="G42" s="24" t="inlineStr">
        <is>
          <t>ได้วันครบกำหนด 2026-08-05</t>
        </is>
      </c>
      <c r="H42" s="24" t="inlineStr">
        <is>
          <t>ผลตรงตามที่คาดหวัง — assertion ผ่านครบ (0.00 วินาที)</t>
        </is>
      </c>
      <c r="I42" s="25" t="inlineStr">
        <is>
          <t>Pass</t>
        </is>
      </c>
      <c r="J42" s="24" t="n"/>
      <c r="K42" s="24" t="n"/>
      <c r="L42" s="24" t="inlineStr">
        <is>
          <t>Node.js 22.19 · Vitest 4.1.11 · Windows 11 (ไม่ใช้ฐานข้อมูล)</t>
        </is>
      </c>
      <c r="M42" s="24" t="inlineStr">
        <is>
          <t>Vitest 4.1.11 (อัตโนมัติ)</t>
        </is>
      </c>
      <c r="N42" s="26" t="n">
        <v>46324.78216494169</v>
      </c>
      <c r="O42" s="24" t="inlineStr">
        <is>
          <t>ผลรายเคสอยู่ในไฟล์ JSON ของ Vitest (evidence-api/)</t>
        </is>
      </c>
      <c r="P42" s="24" t="inlineStr">
        <is>
          <t>สคริปต์: lib/domain/billing.test.ts
ชื่อเทสต์: billing rules moves due date to next month when due day precedes billing day</t>
        </is>
      </c>
    </row>
    <row r="43" ht="60" customHeight="1">
      <c r="A43" s="23" t="inlineStr">
        <is>
          <t>TC_UNIT_BILL_004</t>
        </is>
      </c>
      <c r="B43" s="24" t="inlineStr">
        <is>
          <t>Billing</t>
        </is>
      </c>
      <c r="C43" s="24" t="inlineStr">
        <is>
          <t>ปฏิเสธเดือนผิดรูปแบบและเลขมิเตอร์ติดลบ (Negative)</t>
        </is>
      </c>
      <c r="D43" s="24" t="inlineStr">
        <is>
          <t>ไม่ต้องใช้ฐานข้อมูล · เรียกฟังก์ชันโดยตรงใน Vitest</t>
        </is>
      </c>
      <c r="E43" s="24" t="inlineStr">
        <is>
          <t>1. ตรวจ meterReadingInputSchema</t>
        </is>
      </c>
      <c r="F43" s="24" t="inlineStr">
        <is>
          <t>billingMonth = 2026-13 · currentReading = -1</t>
        </is>
      </c>
      <c r="G43" s="24" t="inlineStr">
        <is>
          <t>ถูกปฏิเสธ</t>
        </is>
      </c>
      <c r="H43" s="24" t="inlineStr">
        <is>
          <t>ผลตรงตามที่คาดหวัง — assertion ผ่านครบ (0.00 วินาที)</t>
        </is>
      </c>
      <c r="I43" s="25" t="inlineStr">
        <is>
          <t>Pass</t>
        </is>
      </c>
      <c r="J43" s="24" t="n"/>
      <c r="K43" s="24" t="n"/>
      <c r="L43" s="24" t="inlineStr">
        <is>
          <t>Node.js 22.19 · Vitest 4.1.11 · Windows 11 (ไม่ใช้ฐานข้อมูล)</t>
        </is>
      </c>
      <c r="M43" s="24" t="inlineStr">
        <is>
          <t>Vitest 4.1.11 (อัตโนมัติ)</t>
        </is>
      </c>
      <c r="N43" s="26" t="n">
        <v>46324.7821649659</v>
      </c>
      <c r="O43" s="24" t="inlineStr">
        <is>
          <t>ผลรายเคสอยู่ในไฟล์ JSON ของ Vitest (evidence-api/)</t>
        </is>
      </c>
      <c r="P43" s="24" t="inlineStr">
        <is>
          <t>สคริปต์: lib/domain/billing.test.ts
ชื่อเทสต์: billing rules rejects malformed billing months and negative readings</t>
        </is>
      </c>
    </row>
    <row r="44" ht="60" customHeight="1">
      <c r="A44" s="23" t="inlineStr">
        <is>
          <t>TC_UNIT_BILL_005</t>
        </is>
      </c>
      <c r="B44" s="24" t="inlineStr">
        <is>
          <t>Billing</t>
        </is>
      </c>
      <c r="C44" s="24" t="inlineStr">
        <is>
          <t>คิดค่าปรับล่าช้ารายวันและไม่เกินเพดาน</t>
        </is>
      </c>
      <c r="D44" s="24" t="inlineStr">
        <is>
          <t>ไม่ต้องใช้ฐานข้อมูล · เรียกฟังก์ชันโดยตรงใน Vitest</t>
        </is>
      </c>
      <c r="E44" s="24" t="inlineStr">
        <is>
          <t>1. เรียก calculateLateFee()</t>
        </is>
      </c>
      <c r="F44" s="24" t="inlineStr">
        <is>
          <t>ครบกำหนด 5 ก.ค. · วันนี้ 10 ก.ค. · 20 บาท/วัน · เพดาน 60</t>
        </is>
      </c>
      <c r="G44" s="24" t="inlineStr">
        <is>
          <t>ล่าช้า 5 วัน ค่าปรับ 60 บาท (ถูกตัดที่เพดาน)</t>
        </is>
      </c>
      <c r="H44" s="24" t="inlineStr">
        <is>
          <t>ผลตรงตามที่คาดหวัง — assertion ผ่านครบ (0.00 วินาที)</t>
        </is>
      </c>
      <c r="I44" s="25" t="inlineStr">
        <is>
          <t>Pass</t>
        </is>
      </c>
      <c r="J44" s="24" t="n"/>
      <c r="K44" s="24" t="n"/>
      <c r="L44" s="24" t="inlineStr">
        <is>
          <t>Node.js 22.19 · Vitest 4.1.11 · Windows 11 (ไม่ใช้ฐานข้อมูล)</t>
        </is>
      </c>
      <c r="M44" s="24" t="inlineStr">
        <is>
          <t>Vitest 4.1.11 (อัตโนมัติ)</t>
        </is>
      </c>
      <c r="N44" s="26" t="n">
        <v>46324.78216502121</v>
      </c>
      <c r="O44" s="24" t="inlineStr">
        <is>
          <t>ผลรายเคสอยู่ในไฟล์ JSON ของ Vitest (evidence-api/)</t>
        </is>
      </c>
      <c r="P44" s="24" t="inlineStr">
        <is>
          <t>สคริปต์: lib/domain/billing.test.ts
ชื่อเทสต์: billing rules calculates daily late fees with a cap</t>
        </is>
      </c>
    </row>
    <row r="45" ht="60" customHeight="1">
      <c r="A45" s="23" t="inlineStr">
        <is>
          <t>TC_UNIT_BILL_006</t>
        </is>
      </c>
      <c r="B45" s="24" t="inlineStr">
        <is>
          <t>Billing</t>
        </is>
      </c>
      <c r="C45" s="24" t="inlineStr">
        <is>
          <t>บิลใหม่ต้องเป็นฉบับร่างก่อน ห้ามออกทันที</t>
        </is>
      </c>
      <c r="D45" s="24" t="inlineStr">
        <is>
          <t>ไม่ต้องใช้ฐานข้อมูล · เรียกฟังก์ชันโดยตรงใน Vitest</t>
        </is>
      </c>
      <c r="E45" s="24" t="inlineStr">
        <is>
          <t>1. parse ไม่ระบุ issueImmediately
2. parse issueImmediately=true</t>
        </is>
      </c>
      <c r="F45" s="24" t="inlineStr">
        <is>
          <t>roomId · billingMonth = 2026-07</t>
        </is>
      </c>
      <c r="G45" s="24" t="inlineStr">
        <is>
          <t>ค่าเริ่มต้น issueImmediately=false · ส่ง true ถูกปฏิเสธ</t>
        </is>
      </c>
      <c r="H45" s="24" t="inlineStr">
        <is>
          <t>ผลตรงตามที่คาดหวัง — assertion ผ่านครบ (0.00 วินาที)</t>
        </is>
      </c>
      <c r="I45" s="25" t="inlineStr">
        <is>
          <t>Pass</t>
        </is>
      </c>
      <c r="J45" s="24" t="n"/>
      <c r="K45" s="24" t="n"/>
      <c r="L45" s="24" t="inlineStr">
        <is>
          <t>Node.js 22.19 · Vitest 4.1.11 · Windows 11 (ไม่ใช้ฐานข้อมูล)</t>
        </is>
      </c>
      <c r="M45" s="24" t="inlineStr">
        <is>
          <t>Vitest 4.1.11 (อัตโนมัติ)</t>
        </is>
      </c>
      <c r="N45" s="26" t="n">
        <v>46324.78216504439</v>
      </c>
      <c r="O45" s="24" t="inlineStr">
        <is>
          <t>ผลรายเคสอยู่ในไฟล์ JSON ของ Vitest (evidence-api/)</t>
        </is>
      </c>
      <c r="P45" s="24" t="inlineStr">
        <is>
          <t>สคริปต์: lib/domain/billing.test.ts
ชื่อเทสต์: billing rules creates invoices as drafts and rejects immediate issuing</t>
        </is>
      </c>
    </row>
    <row r="46" ht="60" customHeight="1">
      <c r="A46" s="23" t="inlineStr">
        <is>
          <t>TC_UNIT_CHAT_001</t>
        </is>
      </c>
      <c r="B46" s="24" t="inlineStr">
        <is>
          <t>Chat</t>
        </is>
      </c>
      <c r="C46" s="24" t="inlineStr">
        <is>
          <t>ห้ามส่งข้อความแชทว่าง</t>
        </is>
      </c>
      <c r="D46" s="24" t="inlineStr">
        <is>
          <t>ไม่ต้องใช้ฐานข้อมูล · เรียกฟังก์ชันโดยตรงใน Vitest</t>
        </is>
      </c>
      <c r="E46" s="24" t="inlineStr">
        <is>
          <t>1. ตรวจ sendChatMessageSchema</t>
        </is>
      </c>
      <c r="F46" s="24" t="inlineStr">
        <is>
          <t>body = "  "</t>
        </is>
      </c>
      <c r="G46" s="24" t="inlineStr">
        <is>
          <t>ถูกปฏิเสธ</t>
        </is>
      </c>
      <c r="H46" s="24" t="inlineStr">
        <is>
          <t>ผลตรงตามที่คาดหวัง — assertion ผ่านครบ (0.01 วินาที)</t>
        </is>
      </c>
      <c r="I46" s="25" t="inlineStr">
        <is>
          <t>Pass</t>
        </is>
      </c>
      <c r="J46" s="24" t="n"/>
      <c r="K46" s="24" t="n"/>
      <c r="L46" s="24" t="inlineStr">
        <is>
          <t>Node.js 22.19 · Vitest 4.1.11 · Windows 11 (ไม่ใช้ฐานข้อมูล)</t>
        </is>
      </c>
      <c r="M46" s="24" t="inlineStr">
        <is>
          <t>Vitest 4.1.11 (อัตโนมัติ)</t>
        </is>
      </c>
      <c r="N46" s="26" t="n">
        <v>46324.78216383102</v>
      </c>
      <c r="O46" s="24" t="inlineStr">
        <is>
          <t>ผลรายเคสอยู่ในไฟล์ JSON ของ Vitest (evidence-api/)</t>
        </is>
      </c>
      <c r="P46" s="24" t="inlineStr">
        <is>
          <t>สคริปต์: lib/domain/chat.test.ts
ชื่อเทสต์: chat validation rejects blank messages</t>
        </is>
      </c>
    </row>
    <row r="47" ht="60" customHeight="1">
      <c r="A47" s="23" t="inlineStr">
        <is>
          <t>TC_UNIT_CHAT_002</t>
        </is>
      </c>
      <c r="B47" s="24" t="inlineStr">
        <is>
          <t>Chat</t>
        </is>
      </c>
      <c r="C47" s="24" t="inlineStr">
        <is>
          <t>จำกัดจำนวนข้อความต่อหน้า (Boundary)</t>
        </is>
      </c>
      <c r="D47" s="24" t="inlineStr">
        <is>
          <t>ไม่ต้องใช้ฐานข้อมูล · เรียกฟังก์ชันโดยตรงใน Vitest</t>
        </is>
      </c>
      <c r="E47" s="24" t="inlineStr">
        <is>
          <t>1. ตรวจ chatCursorSchema</t>
        </is>
      </c>
      <c r="F47" s="24" t="inlineStr">
        <is>
          <t>limit = 101</t>
        </is>
      </c>
      <c r="G47" s="24" t="inlineStr">
        <is>
          <t>ถูกปฏิเสธ (สูงสุด 100)</t>
        </is>
      </c>
      <c r="H47" s="24" t="inlineStr">
        <is>
          <t>ผลตรงตามที่คาดหวัง — assertion ผ่านครบ (0.00 วินาที)</t>
        </is>
      </c>
      <c r="I47" s="25" t="inlineStr">
        <is>
          <t>Pass</t>
        </is>
      </c>
      <c r="J47" s="24" t="n"/>
      <c r="K47" s="24" t="n"/>
      <c r="L47" s="24" t="inlineStr">
        <is>
          <t>Node.js 22.19 · Vitest 4.1.11 · Windows 11 (ไม่ใช้ฐานข้อมูล)</t>
        </is>
      </c>
      <c r="M47" s="24" t="inlineStr">
        <is>
          <t>Vitest 4.1.11 (อัตโนมัติ)</t>
        </is>
      </c>
      <c r="N47" s="26" t="n">
        <v>46324.7821639524</v>
      </c>
      <c r="O47" s="24" t="inlineStr">
        <is>
          <t>ผลรายเคสอยู่ในไฟล์ JSON ของ Vitest (evidence-api/)</t>
        </is>
      </c>
      <c r="P47" s="24" t="inlineStr">
        <is>
          <t>สคริปต์: lib/domain/chat.test.ts
ชื่อเทสต์: chat validation caps page size</t>
        </is>
      </c>
    </row>
    <row r="48" ht="60" customHeight="1">
      <c r="A48" s="23" t="inlineStr">
        <is>
          <t>TC_UNIT_ENUM_001</t>
        </is>
      </c>
      <c r="B48" s="24" t="inlineStr">
        <is>
          <t>Domain Rules</t>
        </is>
      </c>
      <c r="C48" s="24" t="inlineStr">
        <is>
          <t>รับเฉพาะค่า enum ที่ถูกต้อง (Allowlist)</t>
        </is>
      </c>
      <c r="D48" s="24" t="inlineStr">
        <is>
          <t>ไม่ต้องใช้ฐานข้อมูล · เรียกฟังก์ชันโดยตรงใน Vitest</t>
        </is>
      </c>
      <c r="E48" s="24" t="inlineStr">
        <is>
          <t>1. parse สถานะห้อง AVAILABLE
2. ตรวจสถานะบิล paid (ตัวเล็ก)</t>
        </is>
      </c>
      <c r="F48" s="24" t="inlineStr">
        <is>
          <t>AVAILABLE · paid</t>
        </is>
      </c>
      <c r="G48" s="24" t="inlineStr">
        <is>
          <t>AVAILABLE ผ่าน · paid ถูกปฏิเสธ</t>
        </is>
      </c>
      <c r="H48" s="24" t="inlineStr">
        <is>
          <t>ผลตรงตามที่คาดหวัง — assertion ผ่านครบ (0.00 วินาที)</t>
        </is>
      </c>
      <c r="I48" s="25" t="inlineStr">
        <is>
          <t>Pass</t>
        </is>
      </c>
      <c r="J48" s="24" t="n"/>
      <c r="K48" s="24" t="n"/>
      <c r="L48" s="24" t="inlineStr">
        <is>
          <t>Node.js 22.19 · Vitest 4.1.11 · Windows 11 (ไม่ใช้ฐานข้อมูล)</t>
        </is>
      </c>
      <c r="M48" s="24" t="inlineStr">
        <is>
          <t>Vitest 4.1.11 (อัตโนมัติ)</t>
        </is>
      </c>
      <c r="N48" s="26" t="n">
        <v>46324.78217184028</v>
      </c>
      <c r="O48" s="24" t="inlineStr">
        <is>
          <t>ผลรายเคสอยู่ในไฟล์ JSON ของ Vitest (evidence-api/)</t>
        </is>
      </c>
      <c r="P48" s="24" t="inlineStr">
        <is>
          <t>สคริปต์: lib/domain/enums.test.ts
ชื่อเทสต์: domain enums accepts only canonical enum values</t>
        </is>
      </c>
    </row>
    <row r="49" ht="60" customHeight="1">
      <c r="A49" s="23" t="inlineStr">
        <is>
          <t>TC_UNIT_ENUM_002</t>
        </is>
      </c>
      <c r="B49" s="24" t="inlineStr">
        <is>
          <t>Domain Rules</t>
        </is>
      </c>
      <c r="C49" s="24" t="inlineStr">
        <is>
          <t>สถานะสิ้นสุดแล้วเปลี่ยนต่อไม่ได้ (State Transition)</t>
        </is>
      </c>
      <c r="D49" s="24" t="inlineStr">
        <is>
          <t>ไม่ต้องใช้ฐานข้อมูล · เรียกฟังก์ชันโดยตรงใน Vitest</t>
        </is>
      </c>
      <c r="E49" s="24" t="inlineStr">
        <is>
          <t>1. อ่านตารางการเปลี่ยนสถานะของบิล สัญญา และเรื่องแจ้ง</t>
        </is>
      </c>
      <c r="F49" s="24" t="inlineStr">
        <is>
          <t>PAID · CANCELLED · EXPIRED · RESOLVED</t>
        </is>
      </c>
      <c r="G49" s="24" t="inlineStr">
        <is>
          <t>ทุกสถานะสิ้นสุดเปลี่ยนต่อไม่ได้ (รายการว่าง)</t>
        </is>
      </c>
      <c r="H49" s="24" t="inlineStr">
        <is>
          <t>ผลตรงตามที่คาดหวัง — assertion ผ่านครบ (0.00 วินาที)</t>
        </is>
      </c>
      <c r="I49" s="25" t="inlineStr">
        <is>
          <t>Pass</t>
        </is>
      </c>
      <c r="J49" s="24" t="n"/>
      <c r="K49" s="24" t="n"/>
      <c r="L49" s="24" t="inlineStr">
        <is>
          <t>Node.js 22.19 · Vitest 4.1.11 · Windows 11 (ไม่ใช้ฐานข้อมูล)</t>
        </is>
      </c>
      <c r="M49" s="24" t="inlineStr">
        <is>
          <t>Vitest 4.1.11 (อัตโนมัติ)</t>
        </is>
      </c>
      <c r="N49" s="26" t="n">
        <v>46324.78217189363</v>
      </c>
      <c r="O49" s="24" t="inlineStr">
        <is>
          <t>ผลรายเคสอยู่ในไฟล์ JSON ของ Vitest (evidence-api/)</t>
        </is>
      </c>
      <c r="P49" s="24" t="inlineStr">
        <is>
          <t>สคริปต์: lib/domain/enums.test.ts
ชื่อเทสต์: domain enums does not permit reopening terminal states</t>
        </is>
      </c>
    </row>
    <row r="50" ht="60" customHeight="1">
      <c r="A50" s="23" t="inlineStr">
        <is>
          <t>TC_UNIT_LEASE_001</t>
        </is>
      </c>
      <c r="B50" s="24" t="inlineStr">
        <is>
          <t>Lease</t>
        </is>
      </c>
      <c r="C50" s="24" t="inlineStr">
        <is>
          <t>นับวันที่เหลือก่อนสัญญาหมด</t>
        </is>
      </c>
      <c r="D50" s="24" t="inlineStr">
        <is>
          <t>กำหนดเวลาปัจจุบัน = 2026-08-11</t>
        </is>
      </c>
      <c r="E50" s="24" t="inlineStr">
        <is>
          <t>1. เรียก daysUntilLeaseExpiry()</t>
        </is>
      </c>
      <c r="F50" s="24" t="inlineStr">
        <is>
          <t>สิ้นสุด 2026-08-11 · 2026-12-09</t>
        </is>
      </c>
      <c r="G50" s="24" t="inlineStr">
        <is>
          <t>ได้ 0 และ 120 วัน</t>
        </is>
      </c>
      <c r="H50" s="24" t="inlineStr">
        <is>
          <t>ผลตรงตามที่คาดหวัง — assertion ผ่านครบ (0.00 วินาที)</t>
        </is>
      </c>
      <c r="I50" s="25" t="inlineStr">
        <is>
          <t>Pass</t>
        </is>
      </c>
      <c r="J50" s="24" t="n"/>
      <c r="K50" s="24" t="n"/>
      <c r="L50" s="24" t="inlineStr">
        <is>
          <t>Node.js 22.19 · Vitest 4.1.11 · Windows 11 (ไม่ใช้ฐานข้อมูล)</t>
        </is>
      </c>
      <c r="M50" s="24" t="inlineStr">
        <is>
          <t>Vitest 4.1.11 (อัตโนมัติ)</t>
        </is>
      </c>
      <c r="N50" s="26" t="n">
        <v>46324.78217206019</v>
      </c>
      <c r="O50" s="24" t="inlineStr">
        <is>
          <t>ผลรายเคสอยู่ในไฟล์ JSON ของ Vitest (evidence-api/)</t>
        </is>
      </c>
      <c r="P50" s="24" t="inlineStr">
        <is>
          <t>สคริปต์: lib/domain/lease-expiry.test.ts
ชื่อเทสต์: lease expiry calculates remaining calendar days</t>
        </is>
      </c>
    </row>
    <row r="51" ht="60" customHeight="1">
      <c r="A51" s="23" t="inlineStr">
        <is>
          <t>TC_UNIT_LEASE_002</t>
        </is>
      </c>
      <c r="B51" s="24" t="inlineStr">
        <is>
          <t>Lease</t>
        </is>
      </c>
      <c r="C51" s="24" t="inlineStr">
        <is>
          <t>คำนวณสถานะแสดงผล ใกล้หมด / หมดอายุ จากวันสิ้นสุด (Boundary 120 วัน)</t>
        </is>
      </c>
      <c r="D51" s="24" t="inlineStr">
        <is>
          <t>กำหนดเวลาปัจจุบัน = 2026-08-11</t>
        </is>
      </c>
      <c r="E51" s="24" t="inlineStr">
        <is>
          <t>1. เรียก leaseDisplayStatus() หลายวันสิ้นสุด</t>
        </is>
      </c>
      <c r="F51" s="24" t="inlineStr">
        <is>
          <t>2026-12-09 · 2026-12-10 · 2026-08-10 · CANCELLED</t>
        </is>
      </c>
      <c r="G51" s="24" t="inlineStr">
        <is>
          <t>EXPIRING · ACTIVE · EXPIRED · CANCELLED ตามลำดับ</t>
        </is>
      </c>
      <c r="H51" s="24" t="inlineStr">
        <is>
          <t>ผลตรงตามที่คาดหวัง — assertion ผ่านครบ (0.00 วินาที)</t>
        </is>
      </c>
      <c r="I51" s="25" t="inlineStr">
        <is>
          <t>Pass</t>
        </is>
      </c>
      <c r="J51" s="24" t="n"/>
      <c r="K51" s="24" t="n"/>
      <c r="L51" s="24" t="inlineStr">
        <is>
          <t>Node.js 22.19 · Vitest 4.1.11 · Windows 11 (ไม่ใช้ฐานข้อมูล)</t>
        </is>
      </c>
      <c r="M51" s="24" t="inlineStr">
        <is>
          <t>Vitest 4.1.11 (อัตโนมัติ)</t>
        </is>
      </c>
      <c r="N51" s="26" t="n">
        <v>46324.78217208922</v>
      </c>
      <c r="O51" s="24" t="inlineStr">
        <is>
          <t>ผลรายเคสอยู่ในไฟล์ JSON ของ Vitest (evidence-api/)</t>
        </is>
      </c>
      <c r="P51" s="24" t="inlineStr">
        <is>
          <t>สคริปต์: lib/domain/lease-expiry.test.ts
ชื่อเทสต์: lease expiry derives expiring and expired display statuses from the end date</t>
        </is>
      </c>
    </row>
    <row r="52" ht="60" customHeight="1">
      <c r="A52" s="23" t="inlineStr">
        <is>
          <t>TC_UNIT_LEASE_003</t>
        </is>
      </c>
      <c r="B52" s="24" t="inlineStr">
        <is>
          <t>Lease</t>
        </is>
      </c>
      <c r="C52" s="24" t="inlineStr">
        <is>
          <t>ช่วงแจ้งเตือนก่อนหมดสัญญา 120 วันนับรวมวันแรก</t>
        </is>
      </c>
      <c r="D52" s="24" t="inlineStr">
        <is>
          <t>กำหนดเวลาปัจจุบัน = 2026-08-11</t>
        </is>
      </c>
      <c r="E52" s="24" t="inlineStr">
        <is>
          <t>1. เรียก leaseExpiryWindow()</t>
        </is>
      </c>
      <c r="F52" s="24" t="inlineStr">
        <is>
          <t>now = 2026-08-11T08:00Z</t>
        </is>
      </c>
      <c r="G52" s="24" t="inlineStr">
        <is>
          <t>ได้ช่วง 2026-08-11 ถึง 2026-12-09</t>
        </is>
      </c>
      <c r="H52" s="24" t="inlineStr">
        <is>
          <t>ผลตรงตามที่คาดหวัง — assertion ผ่านครบ (0.00 วินาที)</t>
        </is>
      </c>
      <c r="I52" s="25" t="inlineStr">
        <is>
          <t>Pass</t>
        </is>
      </c>
      <c r="J52" s="24" t="n"/>
      <c r="K52" s="24" t="n"/>
      <c r="L52" s="24" t="inlineStr">
        <is>
          <t>Node.js 22.19 · Vitest 4.1.11 · Windows 11 (ไม่ใช้ฐานข้อมูล)</t>
        </is>
      </c>
      <c r="M52" s="24" t="inlineStr">
        <is>
          <t>Vitest 4.1.11 (อัตโนมัติ)</t>
        </is>
      </c>
      <c r="N52" s="26" t="n">
        <v>46324.782172096</v>
      </c>
      <c r="O52" s="24" t="inlineStr">
        <is>
          <t>ผลรายเคสอยู่ในไฟล์ JSON ของ Vitest (evidence-api/)</t>
        </is>
      </c>
      <c r="P52" s="24" t="inlineStr">
        <is>
          <t>สคริปต์: lib/domain/lease-expiry.test.ts
ชื่อเทสต์: lease expiry builds an inclusive 120-day notification window</t>
        </is>
      </c>
    </row>
    <row r="53" ht="60" customHeight="1">
      <c r="A53" s="23" t="inlineStr">
        <is>
          <t>TC_UNIT_LEASE_004</t>
        </is>
      </c>
      <c r="B53" s="24" t="inlineStr">
        <is>
          <t>Lease</t>
        </is>
      </c>
      <c r="C53" s="24" t="inlineStr">
        <is>
          <t>ปฏิเสธสัญญาที่วันสิ้นสุดก่อนวันเริ่ม (Negative)</t>
        </is>
      </c>
      <c r="D53" s="24" t="inlineStr">
        <is>
          <t>ไม่ต้องใช้ฐานข้อมูล · เรียกฟังก์ชันโดยตรงใน Vitest</t>
        </is>
      </c>
      <c r="E53" s="24" t="inlineStr">
        <is>
          <t>1. ตรวจ createLeaseSchema</t>
        </is>
      </c>
      <c r="F53" s="24" t="inlineStr">
        <is>
          <t>เริ่ม 2027-01-01 · สิ้นสุด 2026-01-01</t>
        </is>
      </c>
      <c r="G53" s="24" t="inlineStr">
        <is>
          <t>ถูกปฏิเสธ</t>
        </is>
      </c>
      <c r="H53" s="24" t="inlineStr">
        <is>
          <t>ผลตรงตามที่คาดหวัง — assertion ผ่านครบ (0.01 วินาที)</t>
        </is>
      </c>
      <c r="I53" s="25" t="inlineStr">
        <is>
          <t>Pass</t>
        </is>
      </c>
      <c r="J53" s="24" t="n"/>
      <c r="K53" s="24" t="n"/>
      <c r="L53" s="24" t="inlineStr">
        <is>
          <t>Node.js 22.19 · Vitest 4.1.11 · Windows 11 (ไม่ใช้ฐานข้อมูล)</t>
        </is>
      </c>
      <c r="M53" s="24" t="inlineStr">
        <is>
          <t>Vitest 4.1.11 (อัตโนมัติ)</t>
        </is>
      </c>
      <c r="N53" s="26" t="n">
        <v>46324.78216487268</v>
      </c>
      <c r="O53" s="24" t="inlineStr">
        <is>
          <t>ผลรายเคสอยู่ในไฟล์ JSON ของ Vitest (evidence-api/)</t>
        </is>
      </c>
      <c r="P53" s="24" t="inlineStr">
        <is>
          <t>สคริปต์: lib/domain/leases.test.ts
ชื่อเทสต์: lease lifecycle rejects an end date before the start date</t>
        </is>
      </c>
    </row>
    <row r="54" ht="60" customHeight="1">
      <c r="A54" s="23" t="inlineStr">
        <is>
          <t>TC_UNIT_LEASE_005</t>
        </is>
      </c>
      <c r="B54" s="24" t="inlineStr">
        <is>
          <t>Lease</t>
        </is>
      </c>
      <c r="C54" s="24" t="inlineStr">
        <is>
          <t>แก้ไขสัญญาต้องส่ง version กันการเขียนทับ (Optimistic Locking)</t>
        </is>
      </c>
      <c r="D54" s="24" t="inlineStr">
        <is>
          <t>ไม่ต้องใช้ฐานข้อมูล · เรียกฟังก์ชันโดยตรงใน Vitest</t>
        </is>
      </c>
      <c r="E54" s="24" t="inlineStr">
        <is>
          <t>1. ตรวจไม่มี expectedVersion
2. ตรวจมี expectedVersion</t>
        </is>
      </c>
      <c r="F54" s="24" t="inlineStr">
        <is>
          <t>monthlyRent = 3,500 · expectedVersion = 1</t>
        </is>
      </c>
      <c r="G54" s="24" t="inlineStr">
        <is>
          <t>ไม่มี version ถูกปฏิเสธ · มี version ผ่าน</t>
        </is>
      </c>
      <c r="H54" s="24" t="inlineStr">
        <is>
          <t>ผลตรงตามที่คาดหวัง — assertion ผ่านครบ (0.00 วินาที)</t>
        </is>
      </c>
      <c r="I54" s="25" t="inlineStr">
        <is>
          <t>Pass</t>
        </is>
      </c>
      <c r="J54" s="24" t="n"/>
      <c r="K54" s="24" t="n"/>
      <c r="L54" s="24" t="inlineStr">
        <is>
          <t>Node.js 22.19 · Vitest 4.1.11 · Windows 11 (ไม่ใช้ฐานข้อมูล)</t>
        </is>
      </c>
      <c r="M54" s="24" t="inlineStr">
        <is>
          <t>Vitest 4.1.11 (อัตโนมัติ)</t>
        </is>
      </c>
      <c r="N54" s="26" t="n">
        <v>46324.78216496864</v>
      </c>
      <c r="O54" s="24" t="inlineStr">
        <is>
          <t>ผลรายเคสอยู่ในไฟล์ JSON ของ Vitest (evidence-api/)</t>
        </is>
      </c>
      <c r="P54" s="24" t="inlineStr">
        <is>
          <t>สคริปต์: lib/domain/leases.test.ts
ชื่อเทสต์: lease lifecycle requires optimistic version for edits</t>
        </is>
      </c>
    </row>
    <row r="55" ht="60" customHeight="1">
      <c r="A55" s="23" t="inlineStr">
        <is>
          <t>TC_UNIT_LEASE_006</t>
        </is>
      </c>
      <c r="B55" s="24" t="inlineStr">
        <is>
          <t>Lease</t>
        </is>
      </c>
      <c r="C55" s="24" t="inlineStr">
        <is>
          <t>สัญญาต้องผ่านขั้นรอลงนามก่อนเปิดใช้</t>
        </is>
      </c>
      <c r="D55" s="24" t="inlineStr">
        <is>
          <t>ไม่ต้องใช้ฐานข้อมูล · เรียกฟังก์ชันโดยตรงใน Vitest</t>
        </is>
      </c>
      <c r="E55" s="24" t="inlineStr">
        <is>
          <t>1. อ่าน leaseStatusTransitions</t>
        </is>
      </c>
      <c r="F55" s="24" t="inlineStr">
        <is>
          <t>DRAFT · PENDING_SIGNATURE</t>
        </is>
      </c>
      <c r="G55" s="24" t="inlineStr">
        <is>
          <t>DRAFT ไป ACTIVE ตรงไม่ได้ · PENDING_SIGNATURE ไป ACTIVE ได้</t>
        </is>
      </c>
      <c r="H55" s="24" t="inlineStr">
        <is>
          <t>ผลตรงตามที่คาดหวัง — assertion ผ่านครบ (0.00 วินาที)</t>
        </is>
      </c>
      <c r="I55" s="25" t="inlineStr">
        <is>
          <t>Pass</t>
        </is>
      </c>
      <c r="J55" s="24" t="n"/>
      <c r="K55" s="24" t="n"/>
      <c r="L55" s="24" t="inlineStr">
        <is>
          <t>Node.js 22.19 · Vitest 4.1.11 · Windows 11 (ไม่ใช้ฐานข้อมูล)</t>
        </is>
      </c>
      <c r="M55" s="24" t="inlineStr">
        <is>
          <t>Vitest 4.1.11 (อัตโนมัติ)</t>
        </is>
      </c>
      <c r="N55" s="26" t="n">
        <v>46324.78216499457</v>
      </c>
      <c r="O55" s="24" t="inlineStr">
        <is>
          <t>ผลรายเคสอยู่ในไฟล์ JSON ของ Vitest (evidence-api/)</t>
        </is>
      </c>
      <c r="P55" s="24" t="inlineStr">
        <is>
          <t>สคริปต์: lib/domain/leases.test.ts
ชื่อเทสต์: lease lifecycle requires signature review before activation</t>
        </is>
      </c>
    </row>
    <row r="56" ht="60" customHeight="1">
      <c r="A56" s="23" t="inlineStr">
        <is>
          <t>TC_UNIT_LEASE_007</t>
        </is>
      </c>
      <c r="B56" s="24" t="inlineStr">
        <is>
          <t>Lease</t>
        </is>
      </c>
      <c r="C56" s="24" t="inlineStr">
        <is>
          <t>ตรวจวันที่และเงินของการต่อสัญญา</t>
        </is>
      </c>
      <c r="D56" s="24" t="inlineStr">
        <is>
          <t>ไม่ต้องใช้ฐานข้อมูล · เรียกฟังก์ชันโดยตรงใน Vitest</t>
        </is>
      </c>
      <c r="E56" s="24" t="inlineStr">
        <is>
          <t>1. ตรวจข้อมูลต่อสัญญาถูกต้อง
2. ตรวจวันสลับกัน</t>
        </is>
      </c>
      <c r="F56" s="24" t="inlineStr">
        <is>
          <t>2027-01-01 ถึง 2027-12-31 · ค่าเช่า 4,000</t>
        </is>
      </c>
      <c r="G56" s="24" t="inlineStr">
        <is>
          <t>ถูกต้องผ่าน · วันสลับถูกปฏิเสธ</t>
        </is>
      </c>
      <c r="H56" s="24" t="inlineStr">
        <is>
          <t>ผลตรงตามที่คาดหวัง — assertion ผ่านครบ (0.00 วินาที)</t>
        </is>
      </c>
      <c r="I56" s="25" t="inlineStr">
        <is>
          <t>Pass</t>
        </is>
      </c>
      <c r="J56" s="24" t="n"/>
      <c r="K56" s="24" t="n"/>
      <c r="L56" s="24" t="inlineStr">
        <is>
          <t>Node.js 22.19 · Vitest 4.1.11 · Windows 11 (ไม่ใช้ฐานข้อมูล)</t>
        </is>
      </c>
      <c r="M56" s="24" t="inlineStr">
        <is>
          <t>Vitest 4.1.11 (อัตโนมัติ)</t>
        </is>
      </c>
      <c r="N56" s="26" t="n">
        <v>46324.78216501362</v>
      </c>
      <c r="O56" s="24" t="inlineStr">
        <is>
          <t>ผลรายเคสอยู่ในไฟล์ JSON ของ Vitest (evidence-api/)</t>
        </is>
      </c>
      <c r="P56" s="24" t="inlineStr">
        <is>
          <t>สคริปต์: lib/domain/leases.test.ts
ชื่อเทสต์: lease lifecycle validates renewal dates and money</t>
        </is>
      </c>
    </row>
    <row r="57" ht="60" customHeight="1">
      <c r="A57" s="23" t="inlineStr">
        <is>
          <t>TC_UNIT_LEASE_008</t>
        </is>
      </c>
      <c r="B57" s="24" t="inlineStr">
        <is>
          <t>Lease</t>
        </is>
      </c>
      <c r="C57" s="24" t="inlineStr">
        <is>
          <t>รับรหัสห้องรูปแบบ cuid ที่ถูกต้อง</t>
        </is>
      </c>
      <c r="D57" s="24" t="inlineStr">
        <is>
          <t>ไม่ต้องใช้ฐานข้อมูล · เรียกฟังก์ชันโดยตรงใน Vitest</t>
        </is>
      </c>
      <c r="E57" s="24" t="inlineStr">
        <is>
          <t>1. ตรวจ createLeaseSchema</t>
        </is>
      </c>
      <c r="F57" s="24" t="inlineStr">
        <is>
          <t>roomId = cjld2cjxh0000qzrmn831i7rn</t>
        </is>
      </c>
      <c r="G57" s="24" t="inlineStr">
        <is>
          <t>ผ่าน</t>
        </is>
      </c>
      <c r="H57" s="24" t="inlineStr">
        <is>
          <t>ผลตรงตามที่คาดหวัง — assertion ผ่านครบ (0.00 วินาที)</t>
        </is>
      </c>
      <c r="I57" s="25" t="inlineStr">
        <is>
          <t>Pass</t>
        </is>
      </c>
      <c r="J57" s="24" t="n"/>
      <c r="K57" s="24" t="n"/>
      <c r="L57" s="24" t="inlineStr">
        <is>
          <t>Node.js 22.19 · Vitest 4.1.11 · Windows 11 (ไม่ใช้ฐานข้อมูล)</t>
        </is>
      </c>
      <c r="M57" s="24" t="inlineStr">
        <is>
          <t>Vitest 4.1.11 (อัตโนมัติ)</t>
        </is>
      </c>
      <c r="N57" s="26" t="n">
        <v>46324.78216503117</v>
      </c>
      <c r="O57" s="24" t="inlineStr">
        <is>
          <t>ผลรายเคสอยู่ในไฟล์ JSON ของ Vitest (evidence-api/)</t>
        </is>
      </c>
      <c r="P57" s="24" t="inlineStr">
        <is>
          <t>สคริปต์: lib/domain/leases.test.ts
ชื่อเทสต์: lease id validation accepts a real cuid room id</t>
        </is>
      </c>
    </row>
    <row r="58" ht="60" customHeight="1">
      <c r="A58" s="23" t="inlineStr">
        <is>
          <t>TC_UNIT_LEASE_009</t>
        </is>
      </c>
      <c r="B58" s="24" t="inlineStr">
        <is>
          <t>Lease</t>
        </is>
      </c>
      <c r="C58" s="24" t="inlineStr">
        <is>
          <t>ปฏิเสธรหัสที่ไม่ใช่ cuid (Negative)</t>
        </is>
      </c>
      <c r="D58" s="24" t="inlineStr">
        <is>
          <t>ไม่ต้องใช้ฐานข้อมูล · เรียกฟังก์ชันโดยตรงใน Vitest</t>
        </is>
      </c>
      <c r="E58" s="24" t="inlineStr">
        <is>
          <t>1. ตรวจ createLeaseSchema ทีละค่า</t>
        </is>
      </c>
      <c r="F58" s="24" t="inlineStr">
        <is>
          <t>"" · not-a-cuid · tz4a98xxat96iws9zmbrgj3a (cuid2)</t>
        </is>
      </c>
      <c r="G58" s="24" t="inlineStr">
        <is>
          <t>ทุกค่าถูกปฏิเสธ</t>
        </is>
      </c>
      <c r="H58" s="24" t="inlineStr">
        <is>
          <t>ผลตรงตามที่คาดหวัง — assertion ผ่านครบ (0.00 วินาที)</t>
        </is>
      </c>
      <c r="I58" s="25" t="inlineStr">
        <is>
          <t>Pass</t>
        </is>
      </c>
      <c r="J58" s="24" t="n"/>
      <c r="K58" s="24" t="n"/>
      <c r="L58" s="24" t="inlineStr">
        <is>
          <t>Node.js 22.19 · Vitest 4.1.11 · Windows 11 (ไม่ใช้ฐานข้อมูล)</t>
        </is>
      </c>
      <c r="M58" s="24" t="inlineStr">
        <is>
          <t>Vitest 4.1.11 (อัตโนมัติ)</t>
        </is>
      </c>
      <c r="N58" s="26" t="n">
        <v>46324.78216503716</v>
      </c>
      <c r="O58" s="24" t="inlineStr">
        <is>
          <t>ผลรายเคสอยู่ในไฟล์ JSON ของ Vitest (evidence-api/)</t>
        </is>
      </c>
      <c r="P58" s="24" t="inlineStr">
        <is>
          <t>สคริปต์: lib/domain/leases.test.ts
ชื่อเทสต์: lease id validation rejects ids that are not cuids, including the wider cuid2 shape</t>
        </is>
      </c>
    </row>
    <row r="59" ht="60" customHeight="1">
      <c r="A59" s="23" t="inlineStr">
        <is>
          <t>TC_UNIT_OCC_001</t>
        </is>
      </c>
      <c r="B59" s="24" t="inlineStr">
        <is>
          <t>Occupancy</t>
        </is>
      </c>
      <c r="C59" s="24" t="inlineStr">
        <is>
          <t>คำนวณเงินมัดจำคืนหลังหักค่าใช้จ่ายและบิลค้าง</t>
        </is>
      </c>
      <c r="D59" s="24" t="inlineStr">
        <is>
          <t>ไม่ต้องใช้ฐานข้อมูล · เรียกฟังก์ชันโดยตรงใน Vitest</t>
        </is>
      </c>
      <c r="E59" s="24" t="inlineStr">
        <is>
          <t>1. เรียก calculateDepositSettlement()</t>
        </is>
      </c>
      <c r="F59" s="24" t="inlineStr">
        <is>
          <t>มัดจำ 7,000 · หักทำความสะอาด 500 · บิลค้าง 1,000</t>
        </is>
      </c>
      <c r="G59" s="24" t="inlineStr">
        <is>
          <t>หัก 500 · คืน 5,500 · ต้องจ่ายเพิ่ม 0</t>
        </is>
      </c>
      <c r="H59" s="24" t="inlineStr">
        <is>
          <t>ผลตรงตามที่คาดหวัง — assertion ผ่านครบ (0.00 วินาที)</t>
        </is>
      </c>
      <c r="I59" s="25" t="inlineStr">
        <is>
          <t>Pass</t>
        </is>
      </c>
      <c r="J59" s="24" t="n"/>
      <c r="K59" s="24" t="n"/>
      <c r="L59" s="24" t="inlineStr">
        <is>
          <t>Node.js 22.19 · Vitest 4.1.11 · Windows 11 (ไม่ใช้ฐานข้อมูล)</t>
        </is>
      </c>
      <c r="M59" s="24" t="inlineStr">
        <is>
          <t>Vitest 4.1.11 (อัตโนมัติ)</t>
        </is>
      </c>
      <c r="N59" s="26" t="n">
        <v>46324.78216496528</v>
      </c>
      <c r="O59" s="24" t="inlineStr">
        <is>
          <t>ผลรายเคสอยู่ในไฟล์ JSON ของ Vitest (evidence-api/)</t>
        </is>
      </c>
      <c r="P59" s="24" t="inlineStr">
        <is>
          <t>สคริปต์: lib/domain/occupancy-transitions.test.ts
ชื่อเทสต์: occupancy transition calculates a deposit refund after deductions and outstanding invoices</t>
        </is>
      </c>
    </row>
    <row r="60" ht="60" customHeight="1">
      <c r="A60" s="23" t="inlineStr">
        <is>
          <t>TC_UNIT_OCC_002</t>
        </is>
      </c>
      <c r="B60" s="24" t="inlineStr">
        <is>
          <t>Occupancy</t>
        </is>
      </c>
      <c r="C60" s="24" t="inlineStr">
        <is>
          <t>ค่าใช้จ่ายเกินเงินมัดจำ ต้องได้ยอดที่ผู้เช่าจ่ายเพิ่ม</t>
        </is>
      </c>
      <c r="D60" s="24" t="inlineStr">
        <is>
          <t>ไม่ต้องใช้ฐานข้อมูล · เรียกฟังก์ชันโดยตรงใน Vitest</t>
        </is>
      </c>
      <c r="E60" s="24" t="inlineStr">
        <is>
          <t>1. เรียก calculateDepositSettlement()</t>
        </is>
      </c>
      <c r="F60" s="24" t="inlineStr">
        <is>
          <t>มัดจำ 2,000 · ค่าเสียหาย 2,500 · บิลค้าง 300</t>
        </is>
      </c>
      <c r="G60" s="24" t="inlineStr">
        <is>
          <t>หัก 2,500 · คืน 0 · ต้องจ่ายเพิ่ม 800</t>
        </is>
      </c>
      <c r="H60" s="24" t="inlineStr">
        <is>
          <t>ผลตรงตามที่คาดหวัง — assertion ผ่านครบ (0.00 วินาที)</t>
        </is>
      </c>
      <c r="I60" s="25" t="inlineStr">
        <is>
          <t>Pass</t>
        </is>
      </c>
      <c r="J60" s="24" t="n"/>
      <c r="K60" s="24" t="n"/>
      <c r="L60" s="24" t="inlineStr">
        <is>
          <t>Node.js 22.19 · Vitest 4.1.11 · Windows 11 (ไม่ใช้ฐานข้อมูล)</t>
        </is>
      </c>
      <c r="M60" s="24" t="inlineStr">
        <is>
          <t>Vitest 4.1.11 (อัตโนมัติ)</t>
        </is>
      </c>
      <c r="N60" s="26" t="n">
        <v>46324.78216500799</v>
      </c>
      <c r="O60" s="24" t="inlineStr">
        <is>
          <t>ผลรายเคสอยู่ในไฟล์ JSON ของ Vitest (evidence-api/)</t>
        </is>
      </c>
      <c r="P60" s="24" t="inlineStr">
        <is>
          <t>สคริปต์: lib/domain/occupancy-transitions.test.ts
ชื่อเทสต์: occupancy transition calculates an amount due when charges exceed the deposit</t>
        </is>
      </c>
    </row>
    <row r="61" ht="60" customHeight="1">
      <c r="A61" s="23" t="inlineStr">
        <is>
          <t>TC_UNIT_OCC_003</t>
        </is>
      </c>
      <c r="B61" s="24" t="inlineStr">
        <is>
          <t>Occupancy</t>
        </is>
      </c>
      <c r="C61" s="24" t="inlineStr">
        <is>
          <t>ย้ายห้องต้องระบุห้องปลายทาง ส่วนย้ายออกห้ามระบุ</t>
        </is>
      </c>
      <c r="D61" s="24" t="inlineStr">
        <is>
          <t>ไม่ต้องใช้ฐานข้อมูล · เรียกฟังก์ชันโดยตรงใน Vitest</t>
        </is>
      </c>
      <c r="E61" s="24" t="inlineStr">
        <is>
          <t>1. ตรวจ MOVE_ROOM ไม่มีห้องปลายทาง
2. ตรวจ MOVE_OUT ที่มีห้องปลายทาง</t>
        </is>
      </c>
      <c r="F61" s="24" t="inlineStr">
        <is>
          <t>type = MOVE_ROOM / MOVE_OUT</t>
        </is>
      </c>
      <c r="G61" s="24" t="inlineStr">
        <is>
          <t>ทั้งสองกรณีถูกปฏิเสธ</t>
        </is>
      </c>
      <c r="H61" s="24" t="inlineStr">
        <is>
          <t>ผลตรงตามที่คาดหวัง — assertion ผ่านครบ (0.01 วินาที)</t>
        </is>
      </c>
      <c r="I61" s="25" t="inlineStr">
        <is>
          <t>Pass</t>
        </is>
      </c>
      <c r="J61" s="24" t="n"/>
      <c r="K61" s="24" t="n"/>
      <c r="L61" s="24" t="inlineStr">
        <is>
          <t>Node.js 22.19 · Vitest 4.1.11 · Windows 11 (ไม่ใช้ฐานข้อมูล)</t>
        </is>
      </c>
      <c r="M61" s="24" t="inlineStr">
        <is>
          <t>Vitest 4.1.11 (อัตโนมัติ)</t>
        </is>
      </c>
      <c r="N61" s="26" t="n">
        <v>46324.78216501373</v>
      </c>
      <c r="O61" s="24" t="inlineStr">
        <is>
          <t>ผลรายเคสอยู่ในไฟล์ JSON ของ Vitest (evidence-api/)</t>
        </is>
      </c>
      <c r="P61" s="24" t="inlineStr">
        <is>
          <t>สคริปต์: lib/domain/occupancy-transitions.test.ts
ชื่อเทสต์: occupancy transition requires a destination only for room moves</t>
        </is>
      </c>
    </row>
    <row r="62" ht="60" customHeight="1">
      <c r="A62" s="23" t="inlineStr">
        <is>
          <t>TC_UNIT_PAY_001</t>
        </is>
      </c>
      <c r="B62" s="24" t="inlineStr">
        <is>
          <t>Payments</t>
        </is>
      </c>
      <c r="C62" s="24" t="inlineStr">
        <is>
          <t>สร้าง QR PromptPay จากเบอร์โทรและเลขบัตรประชาชน</t>
        </is>
      </c>
      <c r="D62" s="24" t="inlineStr">
        <is>
          <t>ไม่ต้องใช้ฐานข้อมูล · เรียกฟังก์ชันโดยตรงใน Vitest</t>
        </is>
      </c>
      <c r="E62" s="24" t="inlineStr">
        <is>
          <t>1. เรียก createPromptPayPayload() ด้วยเบอร์โทร
2. เรียกด้วยเลขบัตร 13 หลัก</t>
        </is>
      </c>
      <c r="F62" s="24" t="inlineStr">
        <is>
          <t>081-234-5678 · 3,500 บาท · 1234567890123</t>
        </is>
      </c>
      <c r="G62" s="24" t="inlineStr">
        <is>
          <t>เบอร์ถูกแปลงเป็น 0066812345678 · ลงท้ายด้วย CRC 6304XXXX · เลขบัตรอยู่ใน payload</t>
        </is>
      </c>
      <c r="H62" s="24" t="inlineStr">
        <is>
          <t>ผลตรงตามที่คาดหวัง — assertion ผ่านครบ (0.01 วินาที)</t>
        </is>
      </c>
      <c r="I62" s="25" t="inlineStr">
        <is>
          <t>Pass</t>
        </is>
      </c>
      <c r="J62" s="24" t="n"/>
      <c r="K62" s="24" t="n"/>
      <c r="L62" s="24" t="inlineStr">
        <is>
          <t>Node.js 22.19 · Vitest 4.1.11 · Windows 11 (ไม่ใช้ฐานข้อมูล)</t>
        </is>
      </c>
      <c r="M62" s="24" t="inlineStr">
        <is>
          <t>Vitest 4.1.11 (อัตโนมัติ)</t>
        </is>
      </c>
      <c r="N62" s="26" t="n">
        <v>46324.78216493056</v>
      </c>
      <c r="O62" s="24" t="inlineStr">
        <is>
          <t>ผลรายเคสอยู่ในไฟล์ JSON ของ Vitest (evidence-api/)</t>
        </is>
      </c>
      <c r="P62" s="24" t="inlineStr">
        <is>
          <t>สคริปต์: lib/domain/payments.test.ts
ชื่อเทสต์: payments creates deterministic PromptPay payloads for phone and national IDs</t>
        </is>
      </c>
    </row>
    <row r="63" ht="60" customHeight="1">
      <c r="A63" s="23" t="inlineStr">
        <is>
          <t>TC_UNIT_PAY_002</t>
        </is>
      </c>
      <c r="B63" s="24" t="inlineStr">
        <is>
          <t>Payments</t>
        </is>
      </c>
      <c r="C63" s="24" t="inlineStr">
        <is>
          <t>ปฏิเสธสลิปต้องระบุเหตุผล</t>
        </is>
      </c>
      <c r="D63" s="24" t="inlineStr">
        <is>
          <t>ไม่ต้องใช้ฐานข้อมูล · เรียกฟังก์ชันโดยตรงใน Vitest</t>
        </is>
      </c>
      <c r="E63" s="24" t="inlineStr">
        <is>
          <t>1. ตรวจ REJECTED ไม่มีเหตุผล
2. ตรวจพร้อมเหตุผล</t>
        </is>
      </c>
      <c r="F63" s="24" t="inlineStr">
        <is>
          <t>rejectionNote = "ยอดไม่ตรง"</t>
        </is>
      </c>
      <c r="G63" s="24" t="inlineStr">
        <is>
          <t>ไม่มีเหตุผลถูกปฏิเสธ · มีเหตุผลผ่าน</t>
        </is>
      </c>
      <c r="H63" s="24" t="inlineStr">
        <is>
          <t>ผลตรงตามที่คาดหวัง — assertion ผ่านครบ (0.01 วินาที)</t>
        </is>
      </c>
      <c r="I63" s="25" t="inlineStr">
        <is>
          <t>Pass</t>
        </is>
      </c>
      <c r="J63" s="24" t="n"/>
      <c r="K63" s="24" t="n"/>
      <c r="L63" s="24" t="inlineStr">
        <is>
          <t>Node.js 22.19 · Vitest 4.1.11 · Windows 11 (ไม่ใช้ฐานข้อมูล)</t>
        </is>
      </c>
      <c r="M63" s="24" t="inlineStr">
        <is>
          <t>Vitest 4.1.11 (อัตโนมัติ)</t>
        </is>
      </c>
      <c r="N63" s="26" t="n">
        <v>46324.78216500102</v>
      </c>
      <c r="O63" s="24" t="inlineStr">
        <is>
          <t>ผลรายเคสอยู่ในไฟล์ JSON ของ Vitest (evidence-api/)</t>
        </is>
      </c>
      <c r="P63" s="24" t="inlineStr">
        <is>
          <t>สคริปต์: lib/domain/payments.test.ts
ชื่อเทสต์: payments requires a rejection reason</t>
        </is>
      </c>
    </row>
    <row r="64" ht="60" customHeight="1">
      <c r="A64" s="23" t="inlineStr">
        <is>
          <t>TC_UNIT_PROP_001</t>
        </is>
      </c>
      <c r="B64" s="24" t="inlineStr">
        <is>
          <t>Property Settings</t>
        </is>
      </c>
      <c r="C64" s="24" t="inlineStr">
        <is>
          <t>ปฏิเสธวันออกบิลเกินช่วงและรหัส PromptPay ผิด</t>
        </is>
      </c>
      <c r="D64" s="24" t="inlineStr">
        <is>
          <t>ไม่ต้องใช้ฐานข้อมูล · เรียกฟังก์ชันโดยตรงใน Vitest</t>
        </is>
      </c>
      <c r="E64" s="24" t="inlineStr">
        <is>
          <t>1. ตรวจ billingDay = 29
2. ตรวจ promptPayId ผิด
3. ตรวจข้อมูลถูกต้อง</t>
        </is>
      </c>
      <c r="F64" s="24" t="inlineStr">
        <is>
          <t>billingDay = 29 · promptPayId = invalid</t>
        </is>
      </c>
      <c r="G64" s="24" t="inlineStr">
        <is>
          <t>กรณี 1–2 ถูกปฏิเสธ · กรณี 3 ผ่าน</t>
        </is>
      </c>
      <c r="H64" s="24" t="inlineStr">
        <is>
          <t>ผลตรงตามที่คาดหวัง — assertion ผ่านครบ (0.01 วินาที)</t>
        </is>
      </c>
      <c r="I64" s="25" t="inlineStr">
        <is>
          <t>Pass</t>
        </is>
      </c>
      <c r="J64" s="24" t="n"/>
      <c r="K64" s="24" t="n"/>
      <c r="L64" s="24" t="inlineStr">
        <is>
          <t>Node.js 22.19 · Vitest 4.1.11 · Windows 11 (ไม่ใช้ฐานข้อมูล)</t>
        </is>
      </c>
      <c r="M64" s="24" t="inlineStr">
        <is>
          <t>Vitest 4.1.11 (อัตโนมัติ)</t>
        </is>
      </c>
      <c r="N64" s="26" t="n">
        <v>46324.78216383102</v>
      </c>
      <c r="O64" s="24" t="inlineStr">
        <is>
          <t>ผลรายเคสอยู่ในไฟล์ JSON ของ Vitest (evidence-api/)</t>
        </is>
      </c>
      <c r="P64" s="24" t="inlineStr">
        <is>
          <t>สคริปต์: lib/domain/property-management.test.ts
ชื่อเทสต์: property management validation rejects invalid billing days and PromptPay identifiers</t>
        </is>
      </c>
    </row>
    <row r="65" ht="60" customHeight="1">
      <c r="A65" s="23" t="inlineStr">
        <is>
          <t>TC_UNIT_PROP_002</t>
        </is>
      </c>
      <c r="B65" s="24" t="inlineStr">
        <is>
          <t>Property Settings</t>
        </is>
      </c>
      <c r="C65" s="24" t="inlineStr">
        <is>
          <t>แก้ไขข้อมูลผู้เช่าโดยไม่มีฟิลด์ใดเลยต้องถูกปฏิเสธ</t>
        </is>
      </c>
      <c r="D65" s="24" t="inlineStr">
        <is>
          <t>ไม่ต้องใช้ฐานข้อมูล · เรียกฟังก์ชันโดยตรงใน Vitest</t>
        </is>
      </c>
      <c r="E65" s="24" t="inlineStr">
        <is>
          <t>1. ตรวจ updateTenantProfileSchema</t>
        </is>
      </c>
      <c r="F65" s="24" t="inlineStr">
        <is>
          <t>{}</t>
        </is>
      </c>
      <c r="G65" s="24" t="inlineStr">
        <is>
          <t>ถูกปฏิเสธ</t>
        </is>
      </c>
      <c r="H65" s="24" t="inlineStr">
        <is>
          <t>ผลตรงตามที่คาดหวัง — assertion ผ่านครบ (0.00 วินาที)</t>
        </is>
      </c>
      <c r="I65" s="25" t="inlineStr">
        <is>
          <t>Pass</t>
        </is>
      </c>
      <c r="J65" s="24" t="n"/>
      <c r="K65" s="24" t="n"/>
      <c r="L65" s="24" t="inlineStr">
        <is>
          <t>Node.js 22.19 · Vitest 4.1.11 · Windows 11 (ไม่ใช้ฐานข้อมูล)</t>
        </is>
      </c>
      <c r="M65" s="24" t="inlineStr">
        <is>
          <t>Vitest 4.1.11 (อัตโนมัติ)</t>
        </is>
      </c>
      <c r="N65" s="26" t="n">
        <v>46324.78216397561</v>
      </c>
      <c r="O65" s="24" t="inlineStr">
        <is>
          <t>ผลรายเคสอยู่ในไฟล์ JSON ของ Vitest (evidence-api/)</t>
        </is>
      </c>
      <c r="P65" s="24" t="inlineStr">
        <is>
          <t>สคริปต์: lib/domain/property-management.test.ts
ชื่อเทสต์: property management validation rejects empty tenant changes</t>
        </is>
      </c>
    </row>
    <row r="66" ht="60" customHeight="1">
      <c r="A66" s="23" t="inlineStr">
        <is>
          <t>TC_UNIT_PROP_003</t>
        </is>
      </c>
      <c r="B66" s="24" t="inlineStr">
        <is>
          <t>Property Settings</t>
        </is>
      </c>
      <c r="C66" s="24" t="inlineStr">
        <is>
          <t>ตรวจข้อมูลยานพาหนะของผู้เช่า</t>
        </is>
      </c>
      <c r="D66" s="24" t="inlineStr">
        <is>
          <t>ไม่ต้องใช้ฐานข้อมูล · เรียกฟังก์ชันโดยตรงใน Vitest</t>
        </is>
      </c>
      <c r="E66" s="24" t="inlineStr">
        <is>
          <t>1. ตรวจรถจักรยานยนต์ครบ
2. ตรวจรถยนต์ทะเบียนว่าง
3. ตรวจลบรถ (null)</t>
        </is>
      </c>
      <c r="F66" s="24" t="inlineStr">
        <is>
          <t>1กข 1234 กรุงเทพมหานคร · licensePlate = ""</t>
        </is>
      </c>
      <c r="G66" s="24" t="inlineStr">
        <is>
          <t>ครบผ่าน · ทะเบียนว่างถูกปฏิเสธ · null ผ่าน</t>
        </is>
      </c>
      <c r="H66" s="24" t="inlineStr">
        <is>
          <t>ผลตรงตามที่คาดหวัง — assertion ผ่านครบ (0.00 วินาที)</t>
        </is>
      </c>
      <c r="I66" s="25" t="inlineStr">
        <is>
          <t>Pass</t>
        </is>
      </c>
      <c r="J66" s="24" t="n"/>
      <c r="K66" s="24" t="n"/>
      <c r="L66" s="24" t="inlineStr">
        <is>
          <t>Node.js 22.19 · Vitest 4.1.11 · Windows 11 (ไม่ใช้ฐานข้อมูล)</t>
        </is>
      </c>
      <c r="M66" s="24" t="inlineStr">
        <is>
          <t>Vitest 4.1.11 (อัตโนมัติ)</t>
        </is>
      </c>
      <c r="N66" s="26" t="n">
        <v>46324.78216400013</v>
      </c>
      <c r="O66" s="24" t="inlineStr">
        <is>
          <t>ผลรายเคสอยู่ในไฟล์ JSON ของ Vitest (evidence-api/)</t>
        </is>
      </c>
      <c r="P66" s="24" t="inlineStr">
        <is>
          <t>สคริปต์: lib/domain/property-management.test.ts
ชื่อเทสต์: property management validation validates normalized tenant vehicle changes</t>
        </is>
      </c>
    </row>
    <row r="67" ht="60" customHeight="1">
      <c r="A67" s="23" t="inlineStr">
        <is>
          <t>TC_UNIT_PROP_004</t>
        </is>
      </c>
      <c r="B67" s="24" t="inlineStr">
        <is>
          <t>Property Settings</t>
        </is>
      </c>
      <c r="C67" s="24" t="inlineStr">
        <is>
          <t>ห้ามแก้แพ็กเกจผ่าน API แก้ไขหอพักแบบเดิม</t>
        </is>
      </c>
      <c r="D67" s="24" t="inlineStr">
        <is>
          <t>ไม่ต้องใช้ฐานข้อมูล · เรียกฟังก์ชันโดยตรงใน Vitest</t>
        </is>
      </c>
      <c r="E67" s="24" t="inlineStr">
        <is>
          <t>1. ตรวจ superAdminPropertyUpdateSchema พร้อม subscription</t>
        </is>
      </c>
      <c r="F67" s="24" t="inlineStr">
        <is>
          <t>subscription = { planName: ทดลอง, … }</t>
        </is>
      </c>
      <c r="G67" s="24" t="inlineStr">
        <is>
          <t>ถูกปฏิเสธ</t>
        </is>
      </c>
      <c r="H67" s="24" t="inlineStr">
        <is>
          <t>ผลตรงตามที่คาดหวัง — assertion ผ่านครบ (0.00 วินาที)</t>
        </is>
      </c>
      <c r="I67" s="25" t="inlineStr">
        <is>
          <t>Pass</t>
        </is>
      </c>
      <c r="J67" s="24" t="n"/>
      <c r="K67" s="24" t="n"/>
      <c r="L67" s="24" t="inlineStr">
        <is>
          <t>Node.js 22.19 · Vitest 4.1.11 · Windows 11 (ไม่ใช้ฐานข้อมูล)</t>
        </is>
      </c>
      <c r="M67" s="24" t="inlineStr">
        <is>
          <t>Vitest 4.1.11 (อัตโนมัติ)</t>
        </is>
      </c>
      <c r="N67" s="26" t="n">
        <v>46324.78216402401</v>
      </c>
      <c r="O67" s="24" t="inlineStr">
        <is>
          <t>ผลรายเคสอยู่ในไฟล์ JSON ของ Vitest (evidence-api/)</t>
        </is>
      </c>
      <c r="P67" s="24" t="inlineStr">
        <is>
          <t>สคริปต์: lib/domain/property-management.test.ts
ชื่อเทสต์: property management validation rejects legacy embedded subscription updates</t>
        </is>
      </c>
    </row>
    <row r="68" ht="60" customHeight="1">
      <c r="A68" s="23" t="inlineStr">
        <is>
          <t>TC_UNIT_MEMBER_001</t>
        </is>
      </c>
      <c r="B68" s="24" t="inlineStr">
        <is>
          <t>Property Membership</t>
        </is>
      </c>
      <c r="C68" s="24" t="inlineStr">
        <is>
          <t>ตัดรหัสหอพักที่ซ้ำออก</t>
        </is>
      </c>
      <c r="D68" s="24" t="inlineStr">
        <is>
          <t>ไม่ต้องใช้ฐานข้อมูล · เรียกฟังก์ชันโดยตรงใน Vitest</t>
        </is>
      </c>
      <c r="E68" s="24" t="inlineStr">
        <is>
          <t>1. parse propertyIds ที่ซ้ำกัน</t>
        </is>
      </c>
      <c r="F68" s="24" t="inlineStr">
        <is>
          <t>[id, id]</t>
        </is>
      </c>
      <c r="G68" s="24" t="inlineStr">
        <is>
          <t>เหลือ [id] ตัวเดียว</t>
        </is>
      </c>
      <c r="H68" s="24" t="inlineStr">
        <is>
          <t>ผลตรงตามที่คาดหวัง — assertion ผ่านครบ (0.01 วินาที)</t>
        </is>
      </c>
      <c r="I68" s="25" t="inlineStr">
        <is>
          <t>Pass</t>
        </is>
      </c>
      <c r="J68" s="24" t="n"/>
      <c r="K68" s="24" t="n"/>
      <c r="L68" s="24" t="inlineStr">
        <is>
          <t>Node.js 22.19 · Vitest 4.1.11 · Windows 11 (ไม่ใช้ฐานข้อมูล)</t>
        </is>
      </c>
      <c r="M68" s="24" t="inlineStr">
        <is>
          <t>Vitest 4.1.11 (อัตโนมัติ)</t>
        </is>
      </c>
      <c r="N68" s="26" t="n">
        <v>46324.7821638426</v>
      </c>
      <c r="O68" s="24" t="inlineStr">
        <is>
          <t>ผลรายเคสอยู่ในไฟล์ JSON ของ Vitest (evidence-api/)</t>
        </is>
      </c>
      <c r="P68" s="24" t="inlineStr">
        <is>
          <t>สคริปต์: lib/domain/property-memberships.test.ts
ชื่อเทสต์: updatePropertyMembershipsSchema deduplicates property ids</t>
        </is>
      </c>
    </row>
    <row r="69" ht="60" customHeight="1">
      <c r="A69" s="23" t="inlineStr">
        <is>
          <t>TC_UNIT_MEMBER_002</t>
        </is>
      </c>
      <c r="B69" s="24" t="inlineStr">
        <is>
          <t>Property Membership</t>
        </is>
      </c>
      <c r="C69" s="24" t="inlineStr">
        <is>
          <t>ถอนสิทธิ์จากทุกหอได้</t>
        </is>
      </c>
      <c r="D69" s="24" t="inlineStr">
        <is>
          <t>ไม่ต้องใช้ฐานข้อมูล · เรียกฟังก์ชันโดยตรงใน Vitest</t>
        </is>
      </c>
      <c r="E69" s="24" t="inlineStr">
        <is>
          <t>1. parse propertyIds = []</t>
        </is>
      </c>
      <c r="F69" s="24" t="inlineStr">
        <is>
          <t>[]</t>
        </is>
      </c>
      <c r="G69" s="24" t="inlineStr">
        <is>
          <t>ผ่าน ได้ []</t>
        </is>
      </c>
      <c r="H69" s="24" t="inlineStr">
        <is>
          <t>ผลตรงตามที่คาดหวัง — assertion ผ่านครบ (0.00 วินาที)</t>
        </is>
      </c>
      <c r="I69" s="25" t="inlineStr">
        <is>
          <t>Pass</t>
        </is>
      </c>
      <c r="J69" s="24" t="n"/>
      <c r="K69" s="24" t="n"/>
      <c r="L69" s="24" t="inlineStr">
        <is>
          <t>Node.js 22.19 · Vitest 4.1.11 · Windows 11 (ไม่ใช้ฐานข้อมูล)</t>
        </is>
      </c>
      <c r="M69" s="24" t="inlineStr">
        <is>
          <t>Vitest 4.1.11 (อัตโนมัติ)</t>
        </is>
      </c>
      <c r="N69" s="26" t="n">
        <v>46324.78216393894</v>
      </c>
      <c r="O69" s="24" t="inlineStr">
        <is>
          <t>ผลรายเคสอยู่ในไฟล์ JSON ของ Vitest (evidence-api/)</t>
        </is>
      </c>
      <c r="P69" s="24" t="inlineStr">
        <is>
          <t>สคริปต์: lib/domain/property-memberships.test.ts
ชื่อเทสต์: updatePropertyMembershipsSchema allows removing access from every property</t>
        </is>
      </c>
    </row>
    <row r="70" ht="60" customHeight="1">
      <c r="A70" s="23" t="inlineStr">
        <is>
          <t>TC_UNIT_MEMBER_003</t>
        </is>
      </c>
      <c r="B70" s="24" t="inlineStr">
        <is>
          <t>Property Membership</t>
        </is>
      </c>
      <c r="C70" s="24" t="inlineStr">
        <is>
          <t>ปฏิเสธฟิลด์ role และรหัสผิด (กันยกระดับสิทธิ์)</t>
        </is>
      </c>
      <c r="D70" s="24" t="inlineStr">
        <is>
          <t>ไม่ต้องใช้ฐานข้อมูล · เรียกฟังก์ชันโดยตรงใน Vitest</t>
        </is>
      </c>
      <c r="E70" s="24" t="inlineStr">
        <is>
          <t>1. parse พร้อม role</t>
        </is>
      </c>
      <c r="F70" s="24" t="inlineStr">
        <is>
          <t>propertyIds = ["invalid"] · role = SUPER_ADMIN</t>
        </is>
      </c>
      <c r="G70" s="24" t="inlineStr">
        <is>
          <t>ถูกปฏิเสธ</t>
        </is>
      </c>
      <c r="H70" s="24" t="inlineStr">
        <is>
          <t>ผลตรงตามที่คาดหวัง — assertion ผ่านครบ (0.00 วินาที)</t>
        </is>
      </c>
      <c r="I70" s="25" t="inlineStr">
        <is>
          <t>Pass</t>
        </is>
      </c>
      <c r="J70" s="24" t="n"/>
      <c r="K70" s="24" t="n"/>
      <c r="L70" s="24" t="inlineStr">
        <is>
          <t>Node.js 22.19 · Vitest 4.1.11 · Windows 11 (ไม่ใช้ฐานข้อมูล)</t>
        </is>
      </c>
      <c r="M70" s="24" t="inlineStr">
        <is>
          <t>Vitest 4.1.11 (อัตโนมัติ)</t>
        </is>
      </c>
      <c r="N70" s="26" t="n">
        <v>46324.78216394629</v>
      </c>
      <c r="O70" s="24" t="inlineStr">
        <is>
          <t>ผลรายเคสอยู่ในไฟล์ JSON ของ Vitest (evidence-api/)</t>
        </is>
      </c>
      <c r="P70" s="24" t="inlineStr">
        <is>
          <t>สคริปต์: lib/domain/property-memberships.test.ts
ชื่อเทสต์: updatePropertyMembershipsSchema rejects unknown fields and invalid ids</t>
        </is>
      </c>
    </row>
    <row r="71" ht="60" customHeight="1">
      <c r="A71" s="23" t="inlineStr">
        <is>
          <t>TC_UNIT_ANN_001</t>
        </is>
      </c>
      <c r="B71" s="24" t="inlineStr">
        <is>
          <t>Announcements</t>
        </is>
      </c>
      <c r="C71" s="24" t="inlineStr">
        <is>
          <t>ประกาศถึงห้องต้องระบุห้องเป้าหมาย</t>
        </is>
      </c>
      <c r="D71" s="24" t="inlineStr">
        <is>
          <t>ไม่ต้องใช้ฐานข้อมูล · เรียกฟังก์ชันโดยตรงใน Vitest</t>
        </is>
      </c>
      <c r="E71" s="24" t="inlineStr">
        <is>
          <t>1. ตรวจ audience=ROOM ไม่มี roomIds
2. ตรวจพร้อม roomIds</t>
        </is>
      </c>
      <c r="F71" s="24" t="inlineStr">
        <is>
          <t>audience = ROOM</t>
        </is>
      </c>
      <c r="G71" s="24" t="inlineStr">
        <is>
          <t>ไม่มีห้องถูกปฏิเสธ · มีห้องผ่าน</t>
        </is>
      </c>
      <c r="H71" s="24" t="inlineStr">
        <is>
          <t>ผลตรงตามที่คาดหวัง — assertion ผ่านครบ (0.01 วินาที)</t>
        </is>
      </c>
      <c r="I71" s="25" t="inlineStr">
        <is>
          <t>Pass</t>
        </is>
      </c>
      <c r="J71" s="24" t="n"/>
      <c r="K71" s="24" t="n"/>
      <c r="L71" s="24" t="inlineStr">
        <is>
          <t>Node.js 22.19 · Vitest 4.1.11 · Windows 11 (ไม่ใช้ฐานข้อมูล)</t>
        </is>
      </c>
      <c r="M71" s="24" t="inlineStr">
        <is>
          <t>Vitest 4.1.11 (อัตโนมัติ)</t>
        </is>
      </c>
      <c r="N71" s="26" t="n">
        <v>46324.78216489583</v>
      </c>
      <c r="O71" s="24" t="inlineStr">
        <is>
          <t>ผลรายเคสอยู่ในไฟล์ JSON ของ Vitest (evidence-api/)</t>
        </is>
      </c>
      <c r="P71" s="24" t="inlineStr">
        <is>
          <t>สคริปต์: lib/domain/property-operations.test.ts
ชื่อเทสต์: property operations requires the target that matches an announcement audience</t>
        </is>
      </c>
    </row>
    <row r="72" ht="60" customHeight="1">
      <c r="A72" s="23" t="inlineStr">
        <is>
          <t>TC_UNIT_TICKET_001</t>
        </is>
      </c>
      <c r="B72" s="24" t="inlineStr">
        <is>
          <t>Tickets</t>
        </is>
      </c>
      <c r="C72" s="24" t="inlineStr">
        <is>
          <t>ตรวจเนื้อหาเรื่องแจ้งซ่อม/ร้องเรียนของผู้เช่า</t>
        </is>
      </c>
      <c r="D72" s="24" t="inlineStr">
        <is>
          <t>ไม่ต้องใช้ฐานข้อมูล · เรียกฟังก์ชันโดยตรงใน Vitest</t>
        </is>
      </c>
      <c r="E72" s="24" t="inlineStr">
        <is>
          <t>1. ตรวจหัวข้อและรายละเอียดว่าง
2. ตรวจข้อมูลถูกต้อง</t>
        </is>
      </c>
      <c r="F72" s="24" t="inlineStr">
        <is>
          <t>REPAIR ว่าง · COMPLAINT "เสียงดัง" "หลัง 22:00"</t>
        </is>
      </c>
      <c r="G72" s="24" t="inlineStr">
        <is>
          <t>ว่างถูกปฏิเสธ · ถูกต้องผ่าน</t>
        </is>
      </c>
      <c r="H72" s="24" t="inlineStr">
        <is>
          <t>ผลตรงตามที่คาดหวัง — assertion ผ่านครบ (0.00 วินาที)</t>
        </is>
      </c>
      <c r="I72" s="25" t="inlineStr">
        <is>
          <t>Pass</t>
        </is>
      </c>
      <c r="J72" s="24" t="n"/>
      <c r="K72" s="24" t="n"/>
      <c r="L72" s="24" t="inlineStr">
        <is>
          <t>Node.js 22.19 · Vitest 4.1.11 · Windows 11 (ไม่ใช้ฐานข้อมูล)</t>
        </is>
      </c>
      <c r="M72" s="24" t="inlineStr">
        <is>
          <t>Vitest 4.1.11 (อัตโนมัติ)</t>
        </is>
      </c>
      <c r="N72" s="26" t="n">
        <v>46324.78216501611</v>
      </c>
      <c r="O72" s="24" t="inlineStr">
        <is>
          <t>ผลรายเคสอยู่ในไฟล์ JSON ของ Vitest (evidence-api/)</t>
        </is>
      </c>
      <c r="P72" s="24" t="inlineStr">
        <is>
          <t>สคริปต์: lib/domain/property-operations.test.ts
ชื่อเทสต์: property operations validates tenant-created ticket content</t>
        </is>
      </c>
    </row>
    <row r="73" ht="60" customHeight="1">
      <c r="A73" s="23" t="inlineStr">
        <is>
          <t>TC_UNIT_TICKET_002</t>
        </is>
      </c>
      <c r="B73" s="24" t="inlineStr">
        <is>
          <t>Tickets</t>
        </is>
      </c>
      <c r="C73" s="24" t="inlineStr">
        <is>
          <t>ตัดช่องว่างและจำกัดความยาวคำตอบ (Boundary 4,000 ตัว)</t>
        </is>
      </c>
      <c r="D73" s="24" t="inlineStr">
        <is>
          <t>ไม่ต้องใช้ฐานข้อมูล · เรียกฟังก์ชันโดยตรงใน Vitest</t>
        </is>
      </c>
      <c r="E73" s="24" t="inlineStr">
        <is>
          <t>1. parse ข้อความมีช่องว่างหัวท้าย
2. parse ช่องว่างล้วน
3. parse 4,001 ตัว</t>
        </is>
      </c>
      <c r="F73" s="24" t="inlineStr">
        <is>
          <t>"  รับทราบครับ  " · " " · x × 4001</t>
        </is>
      </c>
      <c r="G73" s="24" t="inlineStr">
        <is>
          <t>ได้ "รับทราบครับ" · ช่องว่างล้วนและ 4,001 ตัวถูกปฏิเสธ</t>
        </is>
      </c>
      <c r="H73" s="24" t="inlineStr">
        <is>
          <t>ผลตรงตามที่คาดหวัง — assertion ผ่านครบ (0.01 วินาที)</t>
        </is>
      </c>
      <c r="I73" s="25" t="inlineStr">
        <is>
          <t>Pass</t>
        </is>
      </c>
      <c r="J73" s="24" t="n"/>
      <c r="K73" s="24" t="n"/>
      <c r="L73" s="24" t="inlineStr">
        <is>
          <t>Node.js 22.19 · Vitest 4.1.11 · Windows 11 (ไม่ใช้ฐานข้อมูล)</t>
        </is>
      </c>
      <c r="M73" s="24" t="inlineStr">
        <is>
          <t>Vitest 4.1.11 (อัตโนมัติ)</t>
        </is>
      </c>
      <c r="N73" s="26" t="n">
        <v>46324.78216504223</v>
      </c>
      <c r="O73" s="24" t="inlineStr">
        <is>
          <t>ผลรายเคสอยู่ในไฟล์ JSON ของ Vitest (evidence-api/)</t>
        </is>
      </c>
      <c r="P73" s="24" t="inlineStr">
        <is>
          <t>สคริปต์: lib/domain/property-operations.test.ts
ชื่อเทสต์: property operations trims and limits ticket replies</t>
        </is>
      </c>
    </row>
    <row r="74" ht="60" customHeight="1">
      <c r="A74" s="23" t="inlineStr">
        <is>
          <t>TC_UNIT_TICKET_003</t>
        </is>
      </c>
      <c r="B74" s="24" t="inlineStr">
        <is>
          <t>Tickets</t>
        </is>
      </c>
      <c r="C74" s="24" t="inlineStr">
        <is>
          <t>เรื่องที่แก้ไขแล้วเปิดใหม่ไม่ได้</t>
        </is>
      </c>
      <c r="D74" s="24" t="inlineStr">
        <is>
          <t>ไม่ต้องใช้ฐานข้อมูล · เรียกฟังก์ชันโดยตรงใน Vitest</t>
        </is>
      </c>
      <c r="E74" s="24" t="inlineStr">
        <is>
          <t>1. อ่าน ticketTransitions.RESOLVED</t>
        </is>
      </c>
      <c r="F74" s="24" t="inlineStr">
        <is>
          <t>RESOLVED</t>
        </is>
      </c>
      <c r="G74" s="24" t="inlineStr">
        <is>
          <t>ได้รายการว่าง</t>
        </is>
      </c>
      <c r="H74" s="24" t="inlineStr">
        <is>
          <t>ผลตรงตามที่คาดหวัง — assertion ผ่านครบ (0.00 วินาที)</t>
        </is>
      </c>
      <c r="I74" s="25" t="inlineStr">
        <is>
          <t>Pass</t>
        </is>
      </c>
      <c r="J74" s="24" t="n"/>
      <c r="K74" s="24" t="n"/>
      <c r="L74" s="24" t="inlineStr">
        <is>
          <t>Node.js 22.19 · Vitest 4.1.11 · Windows 11 (ไม่ใช้ฐานข้อมูล)</t>
        </is>
      </c>
      <c r="M74" s="24" t="inlineStr">
        <is>
          <t>Vitest 4.1.11 (อัตโนมัติ)</t>
        </is>
      </c>
      <c r="N74" s="26" t="n">
        <v>46324.78216510719</v>
      </c>
      <c r="O74" s="24" t="inlineStr">
        <is>
          <t>ผลรายเคสอยู่ในไฟล์ JSON ของ Vitest (evidence-api/)</t>
        </is>
      </c>
      <c r="P74" s="24" t="inlineStr">
        <is>
          <t>สคริปต์: lib/domain/property-operations.test.ts
ชื่อเทสต์: property operations does not reopen resolved tickets</t>
        </is>
      </c>
    </row>
    <row r="75" ht="60" customHeight="1">
      <c r="A75" s="23" t="inlineStr">
        <is>
          <t>TC_UNIT_STRUCT_001</t>
        </is>
      </c>
      <c r="B75" s="24" t="inlineStr">
        <is>
          <t>Property Structure</t>
        </is>
      </c>
      <c r="C75" s="24" t="inlineStr">
        <is>
          <t>ปฏิเสธการสร้างอาคารที่มีชั้นซ้ำ</t>
        </is>
      </c>
      <c r="D75" s="24" t="inlineStr">
        <is>
          <t>ไม่ต้องใช้ฐานข้อมูล · เรียกฟังก์ชันโดยตรงใน Vitest</t>
        </is>
      </c>
      <c r="E75" s="24" t="inlineStr">
        <is>
          <t>1. ตรวจ createBuildingSchema</t>
        </is>
      </c>
      <c r="F75" s="24" t="inlineStr">
        <is>
          <t>อาคาร A · floors = [1, 1]</t>
        </is>
      </c>
      <c r="G75" s="24" t="inlineStr">
        <is>
          <t>ถูกปฏิเสธ</t>
        </is>
      </c>
      <c r="H75" s="24" t="inlineStr">
        <is>
          <t>ผลตรงตามที่คาดหวัง — assertion ผ่านครบ (0.01 วินาที)</t>
        </is>
      </c>
      <c r="I75" s="25" t="inlineStr">
        <is>
          <t>Pass</t>
        </is>
      </c>
      <c r="J75" s="24" t="n"/>
      <c r="K75" s="24" t="n"/>
      <c r="L75" s="24" t="inlineStr">
        <is>
          <t>Node.js 22.19 · Vitest 4.1.11 · Windows 11 (ไม่ใช้ฐานข้อมูล)</t>
        </is>
      </c>
      <c r="M75" s="24" t="inlineStr">
        <is>
          <t>Vitest 4.1.11 (อัตโนมัติ)</t>
        </is>
      </c>
      <c r="N75" s="26" t="n">
        <v>46324.78216596065</v>
      </c>
      <c r="O75" s="24" t="inlineStr">
        <is>
          <t>ผลรายเคสอยู่ในไฟล์ JSON ของ Vitest (evidence-api/)</t>
        </is>
      </c>
      <c r="P75" s="24" t="inlineStr">
        <is>
          <t>สคริปต์: lib/domain/property-structure.test.ts
ชื่อเทสต์: property structure validation rejects duplicate floors in a building request</t>
        </is>
      </c>
    </row>
    <row r="76" ht="60" customHeight="1">
      <c r="A76" s="23" t="inlineStr">
        <is>
          <t>TC_UNIT_STRUCT_002</t>
        </is>
      </c>
      <c r="B76" s="24" t="inlineStr">
        <is>
          <t>Property Structure</t>
        </is>
      </c>
      <c r="C76" s="24" t="inlineStr">
        <is>
          <t>ปรับรูปแบบข้อมูลห้องและเติมค่าเริ่มต้น</t>
        </is>
      </c>
      <c r="D76" s="24" t="inlineStr">
        <is>
          <t>ไม่ต้องใช้ฐานข้อมูล · เรียกฟังก์ชันโดยตรงใน Vitest</t>
        </is>
      </c>
      <c r="E76" s="24" t="inlineStr">
        <is>
          <t>1. parse createRoomSchema</t>
        </is>
      </c>
      <c r="F76" s="24" t="inlineStr">
        <is>
          <t>number = " A-101 " · monthlyRent = "3500"</t>
        </is>
      </c>
      <c r="G76" s="24" t="inlineStr">
        <is>
          <t>number = A-101 · ค่าเช่า 3500 · มัดจำ 0 · ความจุ 1 · เฟอร์นิเจอร์ []</t>
        </is>
      </c>
      <c r="H76" s="24" t="inlineStr">
        <is>
          <t>ผลตรงตามที่คาดหวัง — assertion ผ่านครบ (0.01 วินาที)</t>
        </is>
      </c>
      <c r="I76" s="25" t="inlineStr">
        <is>
          <t>Pass</t>
        </is>
      </c>
      <c r="J76" s="24" t="n"/>
      <c r="K76" s="24" t="n"/>
      <c r="L76" s="24" t="inlineStr">
        <is>
          <t>Node.js 22.19 · Vitest 4.1.11 · Windows 11 (ไม่ใช้ฐานข้อมูล)</t>
        </is>
      </c>
      <c r="M76" s="24" t="inlineStr">
        <is>
          <t>Vitest 4.1.11 (อัตโนมัติ)</t>
        </is>
      </c>
      <c r="N76" s="26" t="n">
        <v>46324.78216607431</v>
      </c>
      <c r="O76" s="24" t="inlineStr">
        <is>
          <t>ผลรายเคสอยู่ในไฟล์ JSON ของ Vitest (evidence-api/)</t>
        </is>
      </c>
      <c r="P76" s="24" t="inlineStr">
        <is>
          <t>สคริปต์: lib/domain/property-structure.test.ts
ชื่อเทสต์: property structure validation normalizes room money and defaults</t>
        </is>
      </c>
    </row>
    <row r="77" ht="60" customHeight="1">
      <c r="A77" s="23" t="inlineStr">
        <is>
          <t>TC_UNIT_STRUCT_003</t>
        </is>
      </c>
      <c r="B77" s="24" t="inlineStr">
        <is>
          <t>Property Structure</t>
        </is>
      </c>
      <c r="C77" s="24" t="inlineStr">
        <is>
          <t>ห้ามตั้งห้องเป็นมีผู้เช่าโดยตรง ต้องผ่านขั้นตอนเข้าพัก</t>
        </is>
      </c>
      <c r="D77" s="24" t="inlineStr">
        <is>
          <t>ไม่ต้องใช้ฐานข้อมูล · เรียกฟังก์ชันโดยตรงใน Vitest</t>
        </is>
      </c>
      <c r="E77" s="24" t="inlineStr">
        <is>
          <t>1. ตรวจ status = OCCUPIED
2. ตรวจ status = MAINTENANCE</t>
        </is>
      </c>
      <c r="F77" s="24" t="inlineStr">
        <is>
          <t>OCCUPIED · MAINTENANCE</t>
        </is>
      </c>
      <c r="G77" s="24" t="inlineStr">
        <is>
          <t>OCCUPIED ถูกปฏิเสธ · MAINTENANCE ผ่าน</t>
        </is>
      </c>
      <c r="H77" s="24" t="inlineStr">
        <is>
          <t>ผลตรงตามที่คาดหวัง — assertion ผ่านครบ (0.00 วินาที)</t>
        </is>
      </c>
      <c r="I77" s="25" t="inlineStr">
        <is>
          <t>Pass</t>
        </is>
      </c>
      <c r="J77" s="24" t="n"/>
      <c r="K77" s="24" t="n"/>
      <c r="L77" s="24" t="inlineStr">
        <is>
          <t>Node.js 22.19 · Vitest 4.1.11 · Windows 11 (ไม่ใช้ฐานข้อมูล)</t>
        </is>
      </c>
      <c r="M77" s="24" t="inlineStr">
        <is>
          <t>Vitest 4.1.11 (อัตโนมัติ)</t>
        </is>
      </c>
      <c r="N77" s="26" t="n">
        <v>46324.78216615201</v>
      </c>
      <c r="O77" s="24" t="inlineStr">
        <is>
          <t>ผลรายเคสอยู่ในไฟล์ JSON ของ Vitest (evidence-api/)</t>
        </is>
      </c>
      <c r="P77" s="24" t="inlineStr">
        <is>
          <t>สคริปต์: lib/domain/property-structure.test.ts
ชื่อเทสต์: property structure validation prevents setting occupied status outside occupancy workflow</t>
        </is>
      </c>
    </row>
    <row r="78" ht="60" customHeight="1">
      <c r="A78" s="23" t="inlineStr">
        <is>
          <t>TC_UNIT_SAAS_001</t>
        </is>
      </c>
      <c r="B78" s="24" t="inlineStr">
        <is>
          <t>SaaS Plans</t>
        </is>
      </c>
      <c r="C78" s="24" t="inlineStr">
        <is>
          <t>รหัสแพ็กเกจถูกแปลงเป็นตัวพิมพ์ใหญ่</t>
        </is>
      </c>
      <c r="D78" s="24" t="inlineStr">
        <is>
          <t>ไม่ต้องใช้ฐานข้อมูล · เรียกฟังก์ชันโดยตรงใน Vitest</t>
        </is>
      </c>
      <c r="E78" s="24" t="inlineStr">
        <is>
          <t>1. parse createSaasPlanSchema</t>
        </is>
      </c>
      <c r="F78" s="24" t="inlineStr">
        <is>
          <t>code = growth</t>
        </is>
      </c>
      <c r="G78" s="24" t="inlineStr">
        <is>
          <t>ได้ GROWTH</t>
        </is>
      </c>
      <c r="H78" s="24" t="inlineStr">
        <is>
          <t>ผลตรงตามที่คาดหวัง — assertion ผ่านครบ (0.01 วินาที)</t>
        </is>
      </c>
      <c r="I78" s="25" t="inlineStr">
        <is>
          <t>Pass</t>
        </is>
      </c>
      <c r="J78" s="24" t="n"/>
      <c r="K78" s="24" t="n"/>
      <c r="L78" s="24" t="inlineStr">
        <is>
          <t>Node.js 22.19 · Vitest 4.1.11 · Windows 11 (ไม่ใช้ฐานข้อมูล)</t>
        </is>
      </c>
      <c r="M78" s="24" t="inlineStr">
        <is>
          <t>Vitest 4.1.11 (อัตโนมัติ)</t>
        </is>
      </c>
      <c r="N78" s="26" t="n">
        <v>46324.78216489583</v>
      </c>
      <c r="O78" s="24" t="inlineStr">
        <is>
          <t>ผลรายเคสอยู่ในไฟล์ JSON ของ Vitest (evidence-api/)</t>
        </is>
      </c>
      <c r="P78" s="24" t="inlineStr">
        <is>
          <t>สคริปต์: lib/domain/saas.test.ts
ชื่อเทสต์: SaaS plans normalizes plan codes</t>
        </is>
      </c>
    </row>
    <row r="79" ht="60" customHeight="1">
      <c r="A79" s="23" t="inlineStr">
        <is>
          <t>TC_UNIT_SAAS_002</t>
        </is>
      </c>
      <c r="B79" s="24" t="inlineStr">
        <is>
          <t>SaaS Plans</t>
        </is>
      </c>
      <c r="C79" s="24" t="inlineStr">
        <is>
          <t>ปฏิเสธช่วงแพ็กเกจที่วันหมดอายุก่อนวันเริ่ม</t>
        </is>
      </c>
      <c r="D79" s="24" t="inlineStr">
        <is>
          <t>ไม่ต้องใช้ฐานข้อมูล · เรียกฟังก์ชันโดยตรงใน Vitest</t>
        </is>
      </c>
      <c r="E79" s="24" t="inlineStr">
        <is>
          <t>1. ตรวจ assignSubscriptionSchema</t>
        </is>
      </c>
      <c r="F79" s="24" t="inlineStr">
        <is>
          <t>เริ่ม 2026-08-01 · หมด 2026-07-01</t>
        </is>
      </c>
      <c r="G79" s="24" t="inlineStr">
        <is>
          <t>ถูกปฏิเสธ</t>
        </is>
      </c>
      <c r="H79" s="24" t="inlineStr">
        <is>
          <t>ผลตรงตามที่คาดหวัง — assertion ผ่านครบ (0.00 วินาที)</t>
        </is>
      </c>
      <c r="I79" s="25" t="inlineStr">
        <is>
          <t>Pass</t>
        </is>
      </c>
      <c r="J79" s="24" t="n"/>
      <c r="K79" s="24" t="n"/>
      <c r="L79" s="24" t="inlineStr">
        <is>
          <t>Node.js 22.19 · Vitest 4.1.11 · Windows 11 (ไม่ใช้ฐานข้อมูล)</t>
        </is>
      </c>
      <c r="M79" s="24" t="inlineStr">
        <is>
          <t>Vitest 4.1.11 (อัตโนมัติ)</t>
        </is>
      </c>
      <c r="N79" s="26" t="n">
        <v>46324.782165018</v>
      </c>
      <c r="O79" s="24" t="inlineStr">
        <is>
          <t>ผลรายเคสอยู่ในไฟล์ JSON ของ Vitest (evidence-api/)</t>
        </is>
      </c>
      <c r="P79" s="24" t="inlineStr">
        <is>
          <t>สคริปต์: lib/domain/saas.test.ts
ชื่อเทสต์: SaaS plans rejects an invalid subscription period</t>
        </is>
      </c>
    </row>
    <row r="80" ht="60" customHeight="1">
      <c r="A80" s="23" t="inlineStr">
        <is>
          <t>TC_UNIT_SAAS_003</t>
        </is>
      </c>
      <c r="B80" s="24" t="inlineStr">
        <is>
          <t>SaaS Plans</t>
        </is>
      </c>
      <c r="C80" s="24" t="inlineStr">
        <is>
          <t>ตรวจคำสั่งซื้อแพ็กเกจและการปฏิเสธการชำระเงิน</t>
        </is>
      </c>
      <c r="D80" s="24" t="inlineStr">
        <is>
          <t>ไม่ต้องใช้ฐานข้อมูล · เรียกฟังก์ชันโดยตรงใน Vitest</t>
        </is>
      </c>
      <c r="E80" s="24" t="inlineStr">
        <is>
          <t>1. parse คำสั่งซื้อรายปี
2. ตรวจ REJECTED ไม่มีเหตุผล
3. ตรวจพร้อมเหตุผล</t>
        </is>
      </c>
      <c r="F80" s="24" t="inlineStr">
        <is>
          <t>YEARLY · rejectionNote = "ยอดในสลิปไม่ตรง"</t>
        </is>
      </c>
      <c r="G80" s="24" t="inlineStr">
        <is>
          <t>รายปีผ่าน · ไม่มีเหตุผลถูกปฏิเสธ · มีเหตุผลผ่าน</t>
        </is>
      </c>
      <c r="H80" s="24" t="inlineStr">
        <is>
          <t>ผลตรงตามที่คาดหวัง — assertion ผ่านครบ (0.00 วินาที)</t>
        </is>
      </c>
      <c r="I80" s="25" t="inlineStr">
        <is>
          <t>Pass</t>
        </is>
      </c>
      <c r="J80" s="24" t="n"/>
      <c r="K80" s="24" t="n"/>
      <c r="L80" s="24" t="inlineStr">
        <is>
          <t>Node.js 22.19 · Vitest 4.1.11 · Windows 11 (ไม่ใช้ฐานข้อมูล)</t>
        </is>
      </c>
      <c r="M80" s="24" t="inlineStr">
        <is>
          <t>Vitest 4.1.11 (อัตโนมัติ)</t>
        </is>
      </c>
      <c r="N80" s="26" t="n">
        <v>46324.78216505644</v>
      </c>
      <c r="O80" s="24" t="inlineStr">
        <is>
          <t>ผลรายเคสอยู่ในไฟล์ JSON ของ Vitest (evidence-api/)</t>
        </is>
      </c>
      <c r="P80" s="24" t="inlineStr">
        <is>
          <t>สคริปต์: lib/domain/saas.test.ts
ชื่อเทสต์: SaaS plans validates self-service orders and requires a rejection reason</t>
        </is>
      </c>
    </row>
    <row r="81" ht="60" customHeight="1">
      <c r="A81" s="23" t="inlineStr">
        <is>
          <t>TC_UNIT_SAAS_004</t>
        </is>
      </c>
      <c r="B81" s="24" t="inlineStr">
        <is>
          <t>SaaS Plans</t>
        </is>
      </c>
      <c r="C81" s="24" t="inlineStr">
        <is>
          <t>แปลงรายได้รายปีเป็นรายเดือน และอัตราการใช้งานไม่เกิน 100%</t>
        </is>
      </c>
      <c r="D81" s="24" t="inlineStr">
        <is>
          <t>ไม่ต้องใช้ฐานข้อมูล · เรียกฟังก์ชันโดยตรงใน Vitest</t>
        </is>
      </c>
      <c r="E81" s="24" t="inlineStr">
        <is>
          <t>1. เรียก monthlyEquivalent()
2. เรียก usagePercent()</t>
        </is>
      </c>
      <c r="F81" s="24" t="inlineStr">
        <is>
          <t>12,000 รายปี · ใช้ 35 จาก 30</t>
        </is>
      </c>
      <c r="G81" s="24" t="inlineStr">
        <is>
          <t>ได้ 1,000 ต่อเดือน และ 100%</t>
        </is>
      </c>
      <c r="H81" s="24" t="inlineStr">
        <is>
          <t>ผลตรงตามที่คาดหวัง — assertion ผ่านครบ (0.00 วินาที)</t>
        </is>
      </c>
      <c r="I81" s="25" t="inlineStr">
        <is>
          <t>Pass</t>
        </is>
      </c>
      <c r="J81" s="24" t="n"/>
      <c r="K81" s="24" t="n"/>
      <c r="L81" s="24" t="inlineStr">
        <is>
          <t>Node.js 22.19 · Vitest 4.1.11 · Windows 11 (ไม่ใช้ฐานข้อมูล)</t>
        </is>
      </c>
      <c r="M81" s="24" t="inlineStr">
        <is>
          <t>Vitest 4.1.11 (อัตโนมัติ)</t>
        </is>
      </c>
      <c r="N81" s="26" t="n">
        <v>46324.78216511052</v>
      </c>
      <c r="O81" s="24" t="inlineStr">
        <is>
          <t>ผลรายเคสอยู่ในไฟล์ JSON ของ Vitest (evidence-api/)</t>
        </is>
      </c>
      <c r="P81" s="24" t="inlineStr">
        <is>
          <t>สคริปต์: lib/domain/saas.test.ts
ชื่อเทสต์: SaaS plans normalizes yearly revenue and caps usage</t>
        </is>
      </c>
    </row>
    <row r="82" ht="60" customHeight="1">
      <c r="A82" s="23" t="inlineStr">
        <is>
          <t>TC_UNIT_TACC_001</t>
        </is>
      </c>
      <c r="B82" s="24" t="inlineStr">
        <is>
          <t>Tenant Account</t>
        </is>
      </c>
      <c r="C82" s="24" t="inlineStr">
        <is>
          <t>ช่องที่ไม่บังคับและเว้นว่างถูกเก็บเป็น null</t>
        </is>
      </c>
      <c r="D82" s="24" t="inlineStr">
        <is>
          <t>ไม่ต้องใช้ฐานข้อมูล · เรียกฟังก์ชันโดยตรงใน Vitest</t>
        </is>
      </c>
      <c r="E82" s="24" t="inlineStr">
        <is>
          <t>1. parse updateOwnTenantProfileSchema</t>
        </is>
      </c>
      <c r="F82" s="24" t="inlineStr">
        <is>
          <t>address/emergencyName/emergencyPhone = ""</t>
        </is>
      </c>
      <c r="G82" s="24" t="inlineStr">
        <is>
          <t>ทั้งสามช่องเป็น null</t>
        </is>
      </c>
      <c r="H82" s="24" t="inlineStr">
        <is>
          <t>ผลตรงตามที่คาดหวัง — assertion ผ่านครบ (0.01 วินาที)</t>
        </is>
      </c>
      <c r="I82" s="25" t="inlineStr">
        <is>
          <t>Pass</t>
        </is>
      </c>
      <c r="J82" s="24" t="n"/>
      <c r="K82" s="24" t="n"/>
      <c r="L82" s="24" t="inlineStr">
        <is>
          <t>Node.js 22.19 · Vitest 4.1.11 · Windows 11 (ไม่ใช้ฐานข้อมูล)</t>
        </is>
      </c>
      <c r="M82" s="24" t="inlineStr">
        <is>
          <t>Vitest 4.1.11 (อัตโนมัติ)</t>
        </is>
      </c>
      <c r="N82" s="26" t="n">
        <v>46324.78216472222</v>
      </c>
      <c r="O82" s="24" t="inlineStr">
        <is>
          <t>ผลรายเคสอยู่ในไฟล์ JSON ของ Vitest (evidence-api/)</t>
        </is>
      </c>
      <c r="P82" s="24" t="inlineStr">
        <is>
          <t>สคริปต์: lib/domain/tenant-account.test.ts
ชื่อเทสต์: tenant account validation normalizes optional empty profile fields to null</t>
        </is>
      </c>
    </row>
    <row r="83" ht="60" customHeight="1">
      <c r="A83" s="23" t="inlineStr">
        <is>
          <t>TC_UNIT_TACC_002</t>
        </is>
      </c>
      <c r="B83" s="24" t="inlineStr">
        <is>
          <t>Tenant Account</t>
        </is>
      </c>
      <c r="C83" s="24" t="inlineStr">
        <is>
          <t>ปฏิเสธชื่อสั้น เบอร์ผิด และฟิลด์ role (กัน Mass Assignment)</t>
        </is>
      </c>
      <c r="D83" s="24" t="inlineStr">
        <is>
          <t>ไม่ต้องใช้ฐานข้อมูล · เรียกฟังก์ชันโดยตรงใน Vitest</t>
        </is>
      </c>
      <c r="E83" s="24" t="inlineStr">
        <is>
          <t>1. ตรวจ updateOwnTenantProfileSchema</t>
        </is>
      </c>
      <c r="F83" s="24" t="inlineStr">
        <is>
          <t>displayName = "ส" · phone = 123 · role = SUPER_ADMIN</t>
        </is>
      </c>
      <c r="G83" s="24" t="inlineStr">
        <is>
          <t>ถูกปฏิเสธ</t>
        </is>
      </c>
      <c r="H83" s="24" t="inlineStr">
        <is>
          <t>ผลตรงตามที่คาดหวัง — assertion ผ่านครบ (0.00 วินาที)</t>
        </is>
      </c>
      <c r="I83" s="25" t="inlineStr">
        <is>
          <t>Pass</t>
        </is>
      </c>
      <c r="J83" s="24" t="n"/>
      <c r="K83" s="24" t="n"/>
      <c r="L83" s="24" t="inlineStr">
        <is>
          <t>Node.js 22.19 · Vitest 4.1.11 · Windows 11 (ไม่ใช้ฐานข้อมูล)</t>
        </is>
      </c>
      <c r="M83" s="24" t="inlineStr">
        <is>
          <t>Vitest 4.1.11 (อัตโนมัติ)</t>
        </is>
      </c>
      <c r="N83" s="26" t="n">
        <v>46324.78216483018</v>
      </c>
      <c r="O83" s="24" t="inlineStr">
        <is>
          <t>ผลรายเคสอยู่ในไฟล์ JSON ของ Vitest (evidence-api/)</t>
        </is>
      </c>
      <c r="P83" s="24" t="inlineStr">
        <is>
          <t>สคริปต์: lib/domain/tenant-account.test.ts
ชื่อเทสต์: tenant account validation rejects unknown and invalid fields</t>
        </is>
      </c>
    </row>
    <row r="84" ht="60" customHeight="1">
      <c r="A84" s="23" t="inlineStr">
        <is>
          <t>TC_UNIT_ONBOARD_001</t>
        </is>
      </c>
      <c r="B84" s="24" t="inlineStr">
        <is>
          <t>Tenant Onboarding</t>
        </is>
      </c>
      <c r="C84" s="24" t="inlineStr">
        <is>
          <t>คำเชิญมีอายุจำกัดและค่าเริ่มต้นเป็นผู้พักร่วม</t>
        </is>
      </c>
      <c r="D84" s="24" t="inlineStr">
        <is>
          <t>ไม่ต้องใช้ฐานข้อมูล · เรียกฟังก์ชันโดยตรงใน Vitest</t>
        </is>
      </c>
      <c r="E84" s="24" t="inlineStr">
        <is>
          <t>1. parse คำเชิญไม่ระบุอายุ
2. ตรวจอายุ 31 วัน</t>
        </is>
      </c>
      <c r="F84" s="24" t="inlineStr">
        <is>
          <t>expiresInDays = 31</t>
        </is>
      </c>
      <c r="G84" s="24" t="inlineStr">
        <is>
          <t>ค่าเริ่มต้น CO_OCCUPANT, 7 วัน · 31 วันถูกปฏิเสธ</t>
        </is>
      </c>
      <c r="H84" s="24" t="inlineStr">
        <is>
          <t>ผลตรงตามที่คาดหวัง — assertion ผ่านครบ (0.01 วินาที)</t>
        </is>
      </c>
      <c r="I84" s="25" t="inlineStr">
        <is>
          <t>Pass</t>
        </is>
      </c>
      <c r="J84" s="24" t="n"/>
      <c r="K84" s="24" t="n"/>
      <c r="L84" s="24" t="inlineStr">
        <is>
          <t>Node.js 22.19 · Vitest 4.1.11 · Windows 11 (ไม่ใช้ฐานข้อมูล)</t>
        </is>
      </c>
      <c r="M84" s="24" t="inlineStr">
        <is>
          <t>Vitest 4.1.11 (อัตโนมัติ)</t>
        </is>
      </c>
      <c r="N84" s="26" t="n">
        <v>46324.78216490741</v>
      </c>
      <c r="O84" s="24" t="inlineStr">
        <is>
          <t>ผลรายเคสอยู่ในไฟล์ JSON ของ Vitest (evidence-api/)</t>
        </is>
      </c>
      <c r="P84" s="24" t="inlineStr">
        <is>
          <t>สคริปต์: lib/domain/tenant-onboarding.test.ts
ชื่อเทสต์: tenant onboarding validation limits invitation lifetime and defaults the occupant role</t>
        </is>
      </c>
    </row>
    <row r="85" ht="60" customHeight="1">
      <c r="A85" s="23" t="inlineStr">
        <is>
          <t>TC_UNIT_ONBOARD_002</t>
        </is>
      </c>
      <c r="B85" s="24" t="inlineStr">
        <is>
          <t>Tenant Onboarding</t>
        </is>
      </c>
      <c r="C85" s="24" t="inlineStr">
        <is>
          <t>ตรวจรหัสคำเชิญและการเลือกห้องพัก</t>
        </is>
      </c>
      <c r="D85" s="24" t="inlineStr">
        <is>
          <t>ไม่ต้องใช้ฐานข้อมูล · เรียกฟังก์ชันโดยตรงใน Vitest</t>
        </is>
      </c>
      <c r="E85" s="24" t="inlineStr">
        <is>
          <t>1. ตรวจรหัส 32 ตัว
2. ตรวจรหัสสั้น
3. ตรวจ occupancyId</t>
        </is>
      </c>
      <c r="F85" s="24" t="inlineStr">
        <is>
          <t>a × 32 · "short"</t>
        </is>
      </c>
      <c r="G85" s="24" t="inlineStr">
        <is>
          <t>32 ตัวผ่าน · สั้นถูกปฏิเสธ · occupancyId ถูกต้องผ่าน</t>
        </is>
      </c>
      <c r="H85" s="24" t="inlineStr">
        <is>
          <t>ผลตรงตามที่คาดหวัง — assertion ผ่านครบ (0.00 วินาที)</t>
        </is>
      </c>
      <c r="I85" s="25" t="inlineStr">
        <is>
          <t>Pass</t>
        </is>
      </c>
      <c r="J85" s="24" t="n"/>
      <c r="K85" s="24" t="n"/>
      <c r="L85" s="24" t="inlineStr">
        <is>
          <t>Node.js 22.19 · Vitest 4.1.11 · Windows 11 (ไม่ใช้ฐานข้อมูล)</t>
        </is>
      </c>
      <c r="M85" s="24" t="inlineStr">
        <is>
          <t>Vitest 4.1.11 (อัตโนมัติ)</t>
        </is>
      </c>
      <c r="N85" s="26" t="n">
        <v>46324.78216500871</v>
      </c>
      <c r="O85" s="24" t="inlineStr">
        <is>
          <t>ผลรายเคสอยู่ในไฟล์ JSON ของ Vitest (evidence-api/)</t>
        </is>
      </c>
      <c r="P85" s="24" t="inlineStr">
        <is>
          <t>สคริปต์: lib/domain/tenant-onboarding.test.ts
ชื่อเทสต์: tenant onboarding validation validates accepting invitations and selecting an occupancy</t>
        </is>
      </c>
    </row>
    <row r="86" ht="60" customHeight="1">
      <c r="A86" s="23" t="inlineStr">
        <is>
          <t>TC_UNIT_ONBOARD_003</t>
        </is>
      </c>
      <c r="B86" s="24" t="inlineStr">
        <is>
          <t>Tenant Onboarding</t>
        </is>
      </c>
      <c r="C86" s="24" t="inlineStr">
        <is>
          <t>บังคับรหัสผ่านแข็งแรงและต้องยอมรับข้อตกลง</t>
        </is>
      </c>
      <c r="D86" s="24" t="inlineStr">
        <is>
          <t>ไม่ต้องใช้ฐานข้อมูล · เรียกฟังก์ชันโดยตรงใน Vitest</t>
        </is>
      </c>
      <c r="E86" s="24" t="inlineStr">
        <is>
          <t>1. ตรวจรหัสอ่อน
2. ตรวจรหัสแข็งแรง
3. ตรวจไม่ยอมรับข้อตกลง</t>
        </is>
      </c>
      <c r="F86" s="24" t="inlineStr">
        <is>
          <t>weakpassword · StrongPassword1 · termsAccepted = false</t>
        </is>
      </c>
      <c r="G86" s="24" t="inlineStr">
        <is>
          <t>รหัสอ่อนถูกปฏิเสธ · แข็งแรงผ่าน · ไม่ยอมรับข้อตกลงถูกปฏิเสธ</t>
        </is>
      </c>
      <c r="H86" s="24" t="inlineStr">
        <is>
          <t>ผลตรงตามที่คาดหวัง — assertion ผ่านครบ (0.00 วินาที)</t>
        </is>
      </c>
      <c r="I86" s="25" t="inlineStr">
        <is>
          <t>Pass</t>
        </is>
      </c>
      <c r="J86" s="24" t="n"/>
      <c r="K86" s="24" t="n"/>
      <c r="L86" s="24" t="inlineStr">
        <is>
          <t>Node.js 22.19 · Vitest 4.1.11 · Windows 11 (ไม่ใช้ฐานข้อมูล)</t>
        </is>
      </c>
      <c r="M86" s="24" t="inlineStr">
        <is>
          <t>Vitest 4.1.11 (อัตโนมัติ)</t>
        </is>
      </c>
      <c r="N86" s="26" t="n">
        <v>46324.78216504036</v>
      </c>
      <c r="O86" s="24" t="inlineStr">
        <is>
          <t>ผลรายเคสอยู่ในไฟล์ JSON ของ Vitest (evidence-api/)</t>
        </is>
      </c>
      <c r="P86" s="24" t="inlineStr">
        <is>
          <t>สคริปต์: lib/domain/tenant-onboarding.test.ts
ชื่อเทสต์: tenant onboarding validation requires a strong tenant password</t>
        </is>
      </c>
    </row>
    <row r="87" ht="60" customHeight="1">
      <c r="A87" s="23" t="inlineStr">
        <is>
          <t>TC_UNIT_ONBOARD_004</t>
        </is>
      </c>
      <c r="B87" s="24" t="inlineStr">
        <is>
          <t>Tenant Onboarding</t>
        </is>
      </c>
      <c r="C87" s="24" t="inlineStr">
        <is>
          <t>การตรวจคำขอเข้าพักทำได้แค่อนุมัติหรือปฏิเสธ</t>
        </is>
      </c>
      <c r="D87" s="24" t="inlineStr">
        <is>
          <t>ไม่ต้องใช้ฐานข้อมูล · เรียกฟังก์ชันโดยตรงใน Vitest</t>
        </is>
      </c>
      <c r="E87" s="24" t="inlineStr">
        <is>
          <t>1. ตรวจ ACTIVE
2. ตรวจ PENDING</t>
        </is>
      </c>
      <c r="F87" s="24" t="inlineStr">
        <is>
          <t>ACTIVE · PENDING</t>
        </is>
      </c>
      <c r="G87" s="24" t="inlineStr">
        <is>
          <t>ACTIVE ผ่าน · PENDING ถูกปฏิเสธ</t>
        </is>
      </c>
      <c r="H87" s="24" t="inlineStr">
        <is>
          <t>ผลตรงตามที่คาดหวัง — assertion ผ่านครบ (0.00 วินาที)</t>
        </is>
      </c>
      <c r="I87" s="25" t="inlineStr">
        <is>
          <t>Pass</t>
        </is>
      </c>
      <c r="J87" s="24" t="n"/>
      <c r="K87" s="24" t="n"/>
      <c r="L87" s="24" t="inlineStr">
        <is>
          <t>Node.js 22.19 · Vitest 4.1.11 · Windows 11 (ไม่ใช้ฐานข้อมูล)</t>
        </is>
      </c>
      <c r="M87" s="24" t="inlineStr">
        <is>
          <t>Vitest 4.1.11 (อัตโนมัติ)</t>
        </is>
      </c>
      <c r="N87" s="26" t="n">
        <v>46324.78216508442</v>
      </c>
      <c r="O87" s="24" t="inlineStr">
        <is>
          <t>ผลรายเคสอยู่ในไฟล์ JSON ของ Vitest (evidence-api/)</t>
        </is>
      </c>
      <c r="P87" s="24" t="inlineStr">
        <is>
          <t>สคริปต์: lib/domain/tenant-onboarding.test.ts
ชื่อเทสต์: tenant onboarding validation allows only approval or rejection during review</t>
        </is>
      </c>
    </row>
    <row r="88" ht="60" customHeight="1">
      <c r="A88" s="23" t="inlineStr">
        <is>
          <t>TC_UNIT_PDPA_001</t>
        </is>
      </c>
      <c r="B88" s="24" t="inlineStr">
        <is>
          <t>Legal / PDPA</t>
        </is>
      </c>
      <c r="C88" s="24" t="inlineStr">
        <is>
          <t>ต้องยอมรับทั้งข้อกำหนดและประกาศความเป็นส่วนตัวฉบับปัจจุบัน</t>
        </is>
      </c>
      <c r="D88" s="24" t="inlineStr">
        <is>
          <t>ไม่ต้องใช้ฐานข้อมูล · เรียกฟังก์ชันโดยตรงใน Vitest</t>
        </is>
      </c>
      <c r="E88" s="24" t="inlineStr">
        <is>
          <t>1. ตรวจเฉพาะข้อกำหนด
2. ตรวจครบสองฉบับ</t>
        </is>
      </c>
      <c r="F88" s="24" t="inlineStr">
        <is>
          <t>TERMS_OF_SERVICE · PRIVACY_NOTICE</t>
        </is>
      </c>
      <c r="G88" s="24" t="inlineStr">
        <is>
          <t>ฉบับเดียวไม่ผ่าน · ครบสองฉบับผ่าน</t>
        </is>
      </c>
      <c r="H88" s="24" t="inlineStr">
        <is>
          <t>ผลตรงตามที่คาดหวัง — assertion ผ่านครบ (0.00 วินาที)</t>
        </is>
      </c>
      <c r="I88" s="25" t="inlineStr">
        <is>
          <t>Pass</t>
        </is>
      </c>
      <c r="J88" s="24" t="n"/>
      <c r="K88" s="24" t="n"/>
      <c r="L88" s="24" t="inlineStr">
        <is>
          <t>Node.js 22.19 · Vitest 4.1.11 · Windows 11 (ไม่ใช้ฐานข้อมูล)</t>
        </is>
      </c>
      <c r="M88" s="24" t="inlineStr">
        <is>
          <t>Vitest 4.1.11 (อัตโนมัติ)</t>
        </is>
      </c>
      <c r="N88" s="26" t="n">
        <v>46324.78217115741</v>
      </c>
      <c r="O88" s="24" t="inlineStr">
        <is>
          <t>ผลรายเคสอยู่ในไฟล์ JSON ของ Vitest (evidence-api/)</t>
        </is>
      </c>
      <c r="P88" s="24" t="inlineStr">
        <is>
          <t>สคริปต์: lib/legal/policies.test.ts
ชื่อเทสต์: policy state requires both current mandatory documents</t>
        </is>
      </c>
    </row>
    <row r="89" ht="60" customHeight="1">
      <c r="A89" s="23" t="inlineStr">
        <is>
          <t>TC_UNIT_PDPA_002</t>
        </is>
      </c>
      <c r="B89" s="24" t="inlineStr">
        <is>
          <t>Legal / PDPA</t>
        </is>
      </c>
      <c r="C89" s="24" t="inlineStr">
        <is>
          <t>การยอมรับฉบับเก่าไม่นับ</t>
        </is>
      </c>
      <c r="D89" s="24" t="inlineStr">
        <is>
          <t>ไม่ต้องใช้ฐานข้อมูล · เรียกฟังก์ชันโดยตรงใน Vitest</t>
        </is>
      </c>
      <c r="E89" s="24" t="inlineStr">
        <is>
          <t>1. ตรวจข้อกำหนดเวอร์ชันเก่า</t>
        </is>
      </c>
      <c r="F89" s="24" t="inlineStr">
        <is>
          <t>documentVersion = "old"</t>
        </is>
      </c>
      <c r="G89" s="24" t="inlineStr">
        <is>
          <t>ไม่ผ่าน</t>
        </is>
      </c>
      <c r="H89" s="24" t="inlineStr">
        <is>
          <t>ผลตรงตามที่คาดหวัง — assertion ผ่านครบ (0.00 วินาที)</t>
        </is>
      </c>
      <c r="I89" s="25" t="inlineStr">
        <is>
          <t>Pass</t>
        </is>
      </c>
      <c r="J89" s="24" t="n"/>
      <c r="K89" s="24" t="n"/>
      <c r="L89" s="24" t="inlineStr">
        <is>
          <t>Node.js 22.19 · Vitest 4.1.11 · Windows 11 (ไม่ใช้ฐานข้อมูล)</t>
        </is>
      </c>
      <c r="M89" s="24" t="inlineStr">
        <is>
          <t>Vitest 4.1.11 (อัตโนมัติ)</t>
        </is>
      </c>
      <c r="N89" s="26" t="n">
        <v>46324.78217118995</v>
      </c>
      <c r="O89" s="24" t="inlineStr">
        <is>
          <t>ผลรายเคสอยู่ในไฟล์ JSON ของ Vitest (evidence-api/)</t>
        </is>
      </c>
      <c r="P89" s="24" t="inlineStr">
        <is>
          <t>สคริปต์: lib/legal/policies.test.ts
ชื่อเทสต์: policy state does not count an outdated document version</t>
        </is>
      </c>
    </row>
    <row r="90" ht="60" customHeight="1">
      <c r="A90" s="23" t="inlineStr">
        <is>
          <t>TC_UNIT_PDPA_003</t>
        </is>
      </c>
      <c r="B90" s="24" t="inlineStr">
        <is>
          <t>Legal / PDPA</t>
        </is>
      </c>
      <c r="C90" s="24" t="inlineStr">
        <is>
          <t>ใช้การตัดสินใจด้านการตลาดครั้งล่าสุด</t>
        </is>
      </c>
      <c r="D90" s="24" t="inlineStr">
        <is>
          <t>ไม่ต้องใช้ฐานข้อมูล · เรียกฟังก์ชันโดยตรงใน Vitest</t>
        </is>
      </c>
      <c r="E90" s="24" t="inlineStr">
        <is>
          <t>1. ยินยอม ม.ค. แล้วถอน ก.พ.</t>
        </is>
      </c>
      <c r="F90" s="24" t="inlineStr">
        <is>
          <t>GRANTED 2026-01-01 · WITHDRAWN 2026-02-01</t>
        </is>
      </c>
      <c r="G90" s="24" t="inlineStr">
        <is>
          <t>ผลเป็นไม่ยินยอม (false)</t>
        </is>
      </c>
      <c r="H90" s="24" t="inlineStr">
        <is>
          <t>ผลตรงตามที่คาดหวัง — assertion ผ่านครบ (0.00 วินาที)</t>
        </is>
      </c>
      <c r="I90" s="25" t="inlineStr">
        <is>
          <t>Pass</t>
        </is>
      </c>
      <c r="J90" s="24" t="n"/>
      <c r="K90" s="24" t="n"/>
      <c r="L90" s="24" t="inlineStr">
        <is>
          <t>Node.js 22.19 · Vitest 4.1.11 · Windows 11 (ไม่ใช้ฐานข้อมูล)</t>
        </is>
      </c>
      <c r="M90" s="24" t="inlineStr">
        <is>
          <t>Vitest 4.1.11 (อัตโนมัติ)</t>
        </is>
      </c>
      <c r="N90" s="26" t="n">
        <v>46324.78217119379</v>
      </c>
      <c r="O90" s="24" t="inlineStr">
        <is>
          <t>ผลรายเคสอยู่ในไฟล์ JSON ของ Vitest (evidence-api/)</t>
        </is>
      </c>
      <c r="P90" s="24" t="inlineStr">
        <is>
          <t>สคริปต์: lib/legal/policies.test.ts
ชื่อเทสต์: policy state uses the latest marketing decision</t>
        </is>
      </c>
    </row>
    <row r="91" ht="60" customHeight="1">
      <c r="A91" s="23" t="inlineStr">
        <is>
          <t>TC_UNIT_NAV_001</t>
        </is>
      </c>
      <c r="B91" s="24" t="inlineStr">
        <is>
          <t>Navigation</t>
        </is>
      </c>
      <c r="C91" s="24" t="inlineStr">
        <is>
          <t>หน้าของเจ้าของหอมี URL คงที่ตามหอพัก</t>
        </is>
      </c>
      <c r="D91" s="24" t="inlineStr">
        <is>
          <t>ไม่ต้องใช้ฐานข้อมูล · เรียกฟังก์ชันโดยตรงใน Vitest</t>
        </is>
      </c>
      <c r="E91" s="24" t="inlineStr">
        <is>
          <t>1. เรียก ownerPagePath() / ownerPageFromSegments()</t>
        </is>
      </c>
      <c r="F91" s="24" t="inlineStr">
        <is>
          <t>property-1 · overview · settings · waterMeter · tickets/history</t>
        </is>
      </c>
      <c r="G91" s="24" t="inlineStr">
        <is>
          <t>/admin/properties/property-1, …/settings, …/meters/water · tickets/history → repairHistory · ไม่รู้จัก → null</t>
        </is>
      </c>
      <c r="H91" s="24" t="inlineStr">
        <is>
          <t>ผลตรงตามที่คาดหวัง — assertion ผ่านครบ (0.00 วินาที)</t>
        </is>
      </c>
      <c r="I91" s="25" t="inlineStr">
        <is>
          <t>Pass</t>
        </is>
      </c>
      <c r="J91" s="24" t="n"/>
      <c r="K91" s="24" t="n"/>
      <c r="L91" s="24" t="inlineStr">
        <is>
          <t>Node.js 22.19 · Vitest 4.1.11 · Windows 11 (ไม่ใช้ฐานข้อมูล)</t>
        </is>
      </c>
      <c r="M91" s="24" t="inlineStr">
        <is>
          <t>Vitest 4.1.11 (อัตโนมัติ)</t>
        </is>
      </c>
      <c r="N91" s="26" t="n">
        <v>46324.78217239583</v>
      </c>
      <c r="O91" s="24" t="inlineStr">
        <is>
          <t>ผลรายเคสอยู่ในไฟล์ JSON ของ Vitest (evidence-api/)</t>
        </is>
      </c>
      <c r="P91" s="24" t="inlineStr">
        <is>
          <t>สคริปต์: lib/navigation-routes.test.ts
ชื่อเทสต์: URL navigation routes maps owner pages to stable property-scoped URLs</t>
        </is>
      </c>
    </row>
    <row r="92" ht="60" customHeight="1">
      <c r="A92" s="23" t="inlineStr">
        <is>
          <t>TC_UNIT_NAV_002</t>
        </is>
      </c>
      <c r="B92" s="24" t="inlineStr">
        <is>
          <t>Navigation</t>
        </is>
      </c>
      <c r="C92" s="24" t="inlineStr">
        <is>
          <t>แท็บของผู้เช่ามี URL คงที่</t>
        </is>
      </c>
      <c r="D92" s="24" t="inlineStr">
        <is>
          <t>ไม่ต้องใช้ฐานข้อมูล · เรียกฟังก์ชันโดยตรงใน Vitest</t>
        </is>
      </c>
      <c r="E92" s="24" t="inlineStr">
        <is>
          <t>1. เรียก tenantPagePath() / tenantTabFromSegments()</t>
        </is>
      </c>
      <c r="F92" s="24" t="inlineStr">
        <is>
          <t>home · invoices · lease · unknown · []</t>
        </is>
      </c>
      <c r="G92" s="24" t="inlineStr">
        <is>
          <t>/tenant, /tenant/invoices · lease → lease · ไม่รู้จัก → null · ว่าง → home</t>
        </is>
      </c>
      <c r="H92" s="24" t="inlineStr">
        <is>
          <t>ผลตรงตามที่คาดหวัง — assertion ผ่านครบ (0.00 วินาที)</t>
        </is>
      </c>
      <c r="I92" s="25" t="inlineStr">
        <is>
          <t>Pass</t>
        </is>
      </c>
      <c r="J92" s="24" t="n"/>
      <c r="K92" s="24" t="n"/>
      <c r="L92" s="24" t="inlineStr">
        <is>
          <t>Node.js 22.19 · Vitest 4.1.11 · Windows 11 (ไม่ใช้ฐานข้อมูล)</t>
        </is>
      </c>
      <c r="M92" s="24" t="inlineStr">
        <is>
          <t>Vitest 4.1.11 (อัตโนมัติ)</t>
        </is>
      </c>
      <c r="N92" s="26" t="n">
        <v>46324.78217242566</v>
      </c>
      <c r="O92" s="24" t="inlineStr">
        <is>
          <t>ผลรายเคสอยู่ในไฟล์ JSON ของ Vitest (evidence-api/)</t>
        </is>
      </c>
      <c r="P92" s="24" t="inlineStr">
        <is>
          <t>สคริปต์: lib/navigation-routes.test.ts
ชื่อเทสต์: URL navigation routes maps tenant tabs to stable URLs</t>
        </is>
      </c>
    </row>
    <row r="93" ht="60" customHeight="1">
      <c r="A93" s="23" t="inlineStr">
        <is>
          <t>TC_UNIT_NAV_003</t>
        </is>
      </c>
      <c r="B93" s="24" t="inlineStr">
        <is>
          <t>Navigation</t>
        </is>
      </c>
      <c r="C93" s="24" t="inlineStr">
        <is>
          <t>แต่ละบทบาทไปหน้าแรกของตัวเอง (RBAC)</t>
        </is>
      </c>
      <c r="D93" s="24" t="inlineStr">
        <is>
          <t>ไม่ต้องใช้ฐานข้อมูล · เรียกฟังก์ชันโดยตรงใน Vitest</t>
        </is>
      </c>
      <c r="E93" s="24" t="inlineStr">
        <is>
          <t>1. เรียก roleHomePath()</t>
        </is>
      </c>
      <c r="F93" s="24" t="inlineStr">
        <is>
          <t>SUPER_ADMIN · TENANT · ADMIN · STAFF</t>
        </is>
      </c>
      <c r="G93" s="24" t="inlineStr">
        <is>
          <t>/super-admin · /tenant · /admin · /admin</t>
        </is>
      </c>
      <c r="H93" s="24" t="inlineStr">
        <is>
          <t>ผลตรงตามที่คาดหวัง — assertion ผ่านครบ (0.00 วินาที)</t>
        </is>
      </c>
      <c r="I93" s="25" t="inlineStr">
        <is>
          <t>Pass</t>
        </is>
      </c>
      <c r="J93" s="24" t="n"/>
      <c r="K93" s="24" t="n"/>
      <c r="L93" s="24" t="inlineStr">
        <is>
          <t>Node.js 22.19 · Vitest 4.1.11 · Windows 11 (ไม่ใช้ฐานข้อมูล)</t>
        </is>
      </c>
      <c r="M93" s="24" t="inlineStr">
        <is>
          <t>Vitest 4.1.11 (อัตโนมัติ)</t>
        </is>
      </c>
      <c r="N93" s="26" t="n">
        <v>46324.782172433</v>
      </c>
      <c r="O93" s="24" t="inlineStr">
        <is>
          <t>ผลรายเคสอยู่ในไฟล์ JSON ของ Vitest (evidence-api/)</t>
        </is>
      </c>
      <c r="P93" s="24" t="inlineStr">
        <is>
          <t>สคริปต์: lib/navigation-routes.test.ts
ชื่อเทสต์: URL navigation routes sends each role to its own home</t>
        </is>
      </c>
    </row>
    <row r="94" ht="60" customHeight="1">
      <c r="A94" s="23" t="inlineStr">
        <is>
          <t>TC_UNIT_APICONV_001</t>
        </is>
      </c>
      <c r="B94" s="24" t="inlineStr">
        <is>
          <t>API Conventions</t>
        </is>
      </c>
      <c r="C94" s="24" t="inlineStr">
        <is>
          <t>ทุก route ที่แก้ไขข้อมูลใช้ตัวช่วยตอบสำเร็จกลาง (บันทึก audit และ request ID)</t>
        </is>
      </c>
      <c r="D94" s="24" t="inlineStr">
        <is>
          <t>อ่านซอร์สโค้ดใน app/api</t>
        </is>
      </c>
      <c r="E94" s="24" t="inlineStr">
        <is>
          <t>1. ไล่ทุกไฟล์ route.ts
2. หา POST/PUT/PATCH/DELETE ที่ไม่เรียก apiSuccessResponse</t>
        </is>
      </c>
      <c r="F94" s="24" t="inlineStr">
        <is>
          <t>app/api/**/route.ts</t>
        </is>
      </c>
      <c r="G94" s="24" t="inlineStr">
        <is>
          <t>ไม่มีไฟล์ที่ขาด (รายการว่าง)</t>
        </is>
      </c>
      <c r="H94" s="24" t="inlineStr">
        <is>
          <t>ผลตรงตามที่คาดหวัง — assertion ผ่านครบ (0.23 วินาที)</t>
        </is>
      </c>
      <c r="I94" s="25" t="inlineStr">
        <is>
          <t>Pass</t>
        </is>
      </c>
      <c r="J94" s="24" t="n"/>
      <c r="K94" s="24" t="n"/>
      <c r="L94" s="24" t="inlineStr">
        <is>
          <t>Node.js 22.19 · Vitest 4.1.11 · Windows 11 (ไม่ใช้ฐานข้อมูล)</t>
        </is>
      </c>
      <c r="M94" s="24" t="inlineStr">
        <is>
          <t>Vitest 4.1.11 (อัตโนมัติ)</t>
        </is>
      </c>
      <c r="N94" s="26" t="n">
        <v>46324.7821612037</v>
      </c>
      <c r="O94" s="24" t="inlineStr">
        <is>
          <t>ผลรายเคสอยู่ในไฟล์ JSON ของ Vitest (evidence-api/)</t>
        </is>
      </c>
      <c r="P94" s="24" t="inlineStr">
        <is>
          <t>สคริปต์: lib/server/api-success-coverage.test.ts
ชื่อเทสต์: mutation API success responses uses the central success response helper in every mutation route</t>
        </is>
      </c>
    </row>
    <row r="95" ht="60" customHeight="1">
      <c r="A95" s="23" t="inlineStr">
        <is>
          <t>TC_UNIT_RBAC_001</t>
        </is>
      </c>
      <c r="B95" s="24" t="inlineStr">
        <is>
          <t>Authorization (RBAC)</t>
        </is>
      </c>
      <c r="C95" s="24" t="inlineStr">
        <is>
          <t>เจ้าของหอเข้าหอที่ได้รับมอบหมายได้</t>
        </is>
      </c>
      <c r="D95" s="24" t="inlineStr">
        <is>
          <t>ไม่ต้องใช้ฐานข้อมูล · เรียกฟังก์ชันโดยตรงใน Vitest</t>
        </is>
      </c>
      <c r="E95" s="24" t="inlineStr">
        <is>
          <t>1. เรียก requirePropertyAccess()</t>
        </is>
      </c>
      <c r="F95" s="24" t="inlineStr">
        <is>
          <t>PROPERTY_ADMIN · propertyIds = [property-a] · เข้า property-a</t>
        </is>
      </c>
      <c r="G95" s="24" t="inlineStr">
        <is>
          <t>ไม่เกิด error</t>
        </is>
      </c>
      <c r="H95" s="24" t="inlineStr">
        <is>
          <t>ผลตรงตามที่คาดหวัง — assertion ผ่านครบ (0.00 วินาที)</t>
        </is>
      </c>
      <c r="I95" s="25" t="inlineStr">
        <is>
          <t>Pass</t>
        </is>
      </c>
      <c r="J95" s="24" t="n"/>
      <c r="K95" s="24" t="n"/>
      <c r="L95" s="24" t="inlineStr">
        <is>
          <t>Node.js 22.19 · Vitest 4.1.11 · Windows 11 (ไม่ใช้ฐานข้อมูล)</t>
        </is>
      </c>
      <c r="M95" s="24" t="inlineStr">
        <is>
          <t>Vitest 4.1.11 (อัตโนมัติ)</t>
        </is>
      </c>
      <c r="N95" s="26" t="n">
        <v>46324.78217590278</v>
      </c>
      <c r="O95" s="24" t="inlineStr">
        <is>
          <t>ผลรายเคสอยู่ในไฟล์ JSON ของ Vitest (evidence-api/)</t>
        </is>
      </c>
      <c r="P95" s="24" t="inlineStr">
        <is>
          <t>สคริปต์: lib/server/auth.test.ts
ชื่อเทสต์: authorization allows an assigned property</t>
        </is>
      </c>
    </row>
    <row r="96" ht="60" customHeight="1">
      <c r="A96" s="23" t="inlineStr">
        <is>
          <t>TC_UNIT_RBAC_002</t>
        </is>
      </c>
      <c r="B96" s="24" t="inlineStr">
        <is>
          <t>Authorization (RBAC)</t>
        </is>
      </c>
      <c r="C96" s="24" t="inlineStr">
        <is>
          <t>หอที่ไม่ได้รับมอบหมายต้องตอบว่าไม่พบ (กัน IDOR)</t>
        </is>
      </c>
      <c r="D96" s="24" t="inlineStr">
        <is>
          <t>ไม่ต้องใช้ฐานข้อมูล · เรียกฟังก์ชันโดยตรงใน Vitest</t>
        </is>
      </c>
      <c r="E96" s="24" t="inlineStr">
        <is>
          <t>1. เรียก requirePropertyAccess()</t>
        </is>
      </c>
      <c r="F96" s="24" t="inlineStr">
        <is>
          <t>เข้า property-b</t>
        </is>
      </c>
      <c r="G96" s="24" t="inlineStr">
        <is>
          <t>แจ้ง "ไม่พบข้อมูล"</t>
        </is>
      </c>
      <c r="H96" s="24" t="inlineStr">
        <is>
          <t>ผลตรงตามที่คาดหวัง — assertion ผ่านครบ (0.00 วินาที)</t>
        </is>
      </c>
      <c r="I96" s="25" t="inlineStr">
        <is>
          <t>Pass</t>
        </is>
      </c>
      <c r="J96" s="24" t="n"/>
      <c r="K96" s="24" t="n"/>
      <c r="L96" s="24" t="inlineStr">
        <is>
          <t>Node.js 22.19 · Vitest 4.1.11 · Windows 11 (ไม่ใช้ฐานข้อมูล)</t>
        </is>
      </c>
      <c r="M96" s="24" t="inlineStr">
        <is>
          <t>Vitest 4.1.11 (อัตโนมัติ)</t>
        </is>
      </c>
      <c r="N96" s="26" t="n">
        <v>46324.78217593466</v>
      </c>
      <c r="O96" s="24" t="inlineStr">
        <is>
          <t>ผลรายเคสอยู่ในไฟล์ JSON ของ Vitest (evidence-api/)</t>
        </is>
      </c>
      <c r="P96" s="24" t="inlineStr">
        <is>
          <t>สคริปต์: lib/server/auth.test.ts
ชื่อเทสต์: authorization hides an unassigned property</t>
        </is>
      </c>
    </row>
    <row r="97" ht="60" customHeight="1">
      <c r="A97" s="23" t="inlineStr">
        <is>
          <t>TC_UNIT_RBAC_003</t>
        </is>
      </c>
      <c r="B97" s="24" t="inlineStr">
        <is>
          <t>Authorization (RBAC)</t>
        </is>
      </c>
      <c r="C97" s="24" t="inlineStr">
        <is>
          <t>Super Admin เข้าได้ทุกหอ</t>
        </is>
      </c>
      <c r="D97" s="24" t="inlineStr">
        <is>
          <t>ไม่ต้องใช้ฐานข้อมูล · เรียกฟังก์ชันโดยตรงใน Vitest</t>
        </is>
      </c>
      <c r="E97" s="24" t="inlineStr">
        <is>
          <t>1. เรียก requirePropertyAccess() ด้วย SUPER_ADMIN</t>
        </is>
      </c>
      <c r="F97" s="24" t="inlineStr">
        <is>
          <t>propertyIds = [] · เข้า property-b</t>
        </is>
      </c>
      <c r="G97" s="24" t="inlineStr">
        <is>
          <t>ไม่เกิด error</t>
        </is>
      </c>
      <c r="H97" s="24" t="inlineStr">
        <is>
          <t>ผลตรงตามที่คาดหวัง — assertion ผ่านครบ (0.00 วินาที)</t>
        </is>
      </c>
      <c r="I97" s="25" t="inlineStr">
        <is>
          <t>Pass</t>
        </is>
      </c>
      <c r="J97" s="24" t="n"/>
      <c r="K97" s="24" t="n"/>
      <c r="L97" s="24" t="inlineStr">
        <is>
          <t>Node.js 22.19 · Vitest 4.1.11 · Windows 11 (ไม่ใช้ฐานข้อมูล)</t>
        </is>
      </c>
      <c r="M97" s="24" t="inlineStr">
        <is>
          <t>Vitest 4.1.11 (อัตโนมัติ)</t>
        </is>
      </c>
      <c r="N97" s="26" t="n">
        <v>46324.7821759405</v>
      </c>
      <c r="O97" s="24" t="inlineStr">
        <is>
          <t>ผลรายเคสอยู่ในไฟล์ JSON ของ Vitest (evidence-api/)</t>
        </is>
      </c>
      <c r="P97" s="24" t="inlineStr">
        <is>
          <t>สคริปต์: lib/server/auth.test.ts
ชื่อเทสต์: authorization allows a super admin to access any property</t>
        </is>
      </c>
    </row>
    <row r="98" ht="60" customHeight="1">
      <c r="A98" s="23" t="inlineStr">
        <is>
          <t>TC_UNIT_RBAC_004</t>
        </is>
      </c>
      <c r="B98" s="24" t="inlineStr">
        <is>
          <t>Authorization (RBAC)</t>
        </is>
      </c>
      <c r="C98" s="24" t="inlineStr">
        <is>
          <t>บทบาทไม่ตรงต้องถูกปฏิเสธ</t>
        </is>
      </c>
      <c r="D98" s="24" t="inlineStr">
        <is>
          <t>ไม่ต้องใช้ฐานข้อมูล · เรียกฟังก์ชันโดยตรงใน Vitest</t>
        </is>
      </c>
      <c r="E98" s="24" t="inlineStr">
        <is>
          <t>1. เรียก requireRole(PROPERTY_ADMIN, SUPER_ADMIN)</t>
        </is>
      </c>
      <c r="F98" s="24" t="inlineStr">
        <is>
          <t>role = PROPERTY_ADMIN</t>
        </is>
      </c>
      <c r="G98" s="24" t="inlineStr">
        <is>
          <t>แจ้ง "คุณไม่มีสิทธิ์ดำเนินการ"</t>
        </is>
      </c>
      <c r="H98" s="24" t="inlineStr">
        <is>
          <t>ผลตรงตามที่คาดหวัง — assertion ผ่านครบ (0.00 วินาที)</t>
        </is>
      </c>
      <c r="I98" s="25" t="inlineStr">
        <is>
          <t>Pass</t>
        </is>
      </c>
      <c r="J98" s="24" t="n"/>
      <c r="K98" s="24" t="n"/>
      <c r="L98" s="24" t="inlineStr">
        <is>
          <t>Node.js 22.19 · Vitest 4.1.11 · Windows 11 (ไม่ใช้ฐานข้อมูล)</t>
        </is>
      </c>
      <c r="M98" s="24" t="inlineStr">
        <is>
          <t>Vitest 4.1.11 (อัตโนมัติ)</t>
        </is>
      </c>
      <c r="N98" s="26" t="n">
        <v>46324.78217594368</v>
      </c>
      <c r="O98" s="24" t="inlineStr">
        <is>
          <t>ผลรายเคสอยู่ในไฟล์ JSON ของ Vitest (evidence-api/)</t>
        </is>
      </c>
      <c r="P98" s="24" t="inlineStr">
        <is>
          <t>สคริปต์: lib/server/auth.test.ts
ชื่อเทสต์: authorization denies a role mismatch</t>
        </is>
      </c>
    </row>
    <row r="99" ht="60" customHeight="1">
      <c r="A99" s="23" t="inlineStr">
        <is>
          <t>TC_UNIT_RETAIN_001</t>
        </is>
      </c>
      <c r="B99" s="24" t="inlineStr">
        <is>
          <t>File Retention</t>
        </is>
      </c>
      <c r="C99" s="24" t="inlineStr">
        <is>
          <t>คำนวณวันตัดไฟล์ตามระยะเก็บแบบ UTC โดยไม่แก้ค่าเวลาที่ส่งเข้า</t>
        </is>
      </c>
      <c r="D99" s="24" t="inlineStr">
        <is>
          <t>ไม่ต้องใช้ฐานข้อมูล · เรียกฟังก์ชันโดยตรงใน Vitest</t>
        </is>
      </c>
      <c r="E99" s="24" t="inlineStr">
        <is>
          <t>1. เรียก retentionCutoff(runAt, 365)</t>
        </is>
      </c>
      <c r="F99" s="24" t="inlineStr">
        <is>
          <t>runAt = 2026-07-29T12:30Z</t>
        </is>
      </c>
      <c r="G99" s="24" t="inlineStr">
        <is>
          <t>ได้ 2025-07-29T12:30Z และ runAt ไม่เปลี่ยน</t>
        </is>
      </c>
      <c r="H99" s="24" t="inlineStr">
        <is>
          <t>ผลตรงตามที่คาดหวัง — assertion ผ่านครบ (0.00 วินาที)</t>
        </is>
      </c>
      <c r="I99" s="25" t="inlineStr">
        <is>
          <t>Pass</t>
        </is>
      </c>
      <c r="J99" s="24" t="n"/>
      <c r="K99" s="24" t="n"/>
      <c r="L99" s="24" t="inlineStr">
        <is>
          <t>Node.js 22.19 · Vitest 4.1.11 · Windows 11 (ไม่ใช้ฐานข้อมูล)</t>
        </is>
      </c>
      <c r="M99" s="24" t="inlineStr">
        <is>
          <t>Vitest 4.1.11 (อัตโนมัติ)</t>
        </is>
      </c>
      <c r="N99" s="26" t="n">
        <v>46324.78217653935</v>
      </c>
      <c r="O99" s="24" t="inlineStr">
        <is>
          <t>ผลรายเคสอยู่ในไฟล์ JSON ของ Vitest (evidence-api/)</t>
        </is>
      </c>
      <c r="P99" s="24" t="inlineStr">
        <is>
          <t>สคริปต์: lib/server/file-retention.test.ts
ชื่อเทสต์: file retention policy calculates UTC cutoffs without changing the supplied run time</t>
        </is>
      </c>
    </row>
    <row r="100" ht="60" customHeight="1">
      <c r="A100" s="23" t="inlineStr">
        <is>
          <t>TC_UNIT_RETAIN_002</t>
        </is>
      </c>
      <c r="B100" s="24" t="inlineStr">
        <is>
          <t>File Retention</t>
        </is>
      </c>
      <c r="C100" s="24" t="inlineStr">
        <is>
          <t>รองรับระยะเก็บเอกสาร 7 ปี (2,555 วัน)</t>
        </is>
      </c>
      <c r="D100" s="24" t="inlineStr">
        <is>
          <t>ไม่ต้องใช้ฐานข้อมูล · เรียกฟังก์ชันโดยตรงใน Vitest</t>
        </is>
      </c>
      <c r="E100" s="24" t="inlineStr">
        <is>
          <t>1. เรียก retentionCutoff(…, 2555)</t>
        </is>
      </c>
      <c r="F100" s="24" t="inlineStr">
        <is>
          <t>2026-07-29</t>
        </is>
      </c>
      <c r="G100" s="24" t="inlineStr">
        <is>
          <t>ได้ 2019-07-31</t>
        </is>
      </c>
      <c r="H100" s="24" t="inlineStr">
        <is>
          <t>ผลตรงตามที่คาดหวัง — assertion ผ่านครบ (0.00 วินาที)</t>
        </is>
      </c>
      <c r="I100" s="25" t="inlineStr">
        <is>
          <t>Pass</t>
        </is>
      </c>
      <c r="J100" s="24" t="n"/>
      <c r="K100" s="24" t="n"/>
      <c r="L100" s="24" t="inlineStr">
        <is>
          <t>Node.js 22.19 · Vitest 4.1.11 · Windows 11 (ไม่ใช้ฐานข้อมูล)</t>
        </is>
      </c>
      <c r="M100" s="24" t="inlineStr">
        <is>
          <t>Vitest 4.1.11 (อัตโนมัติ)</t>
        </is>
      </c>
      <c r="N100" s="26" t="n">
        <v>46324.78217657597</v>
      </c>
      <c r="O100" s="24" t="inlineStr">
        <is>
          <t>ผลรายเคสอยู่ในไฟล์ JSON ของ Vitest (evidence-api/)</t>
        </is>
      </c>
      <c r="P100" s="24" t="inlineStr">
        <is>
          <t>สคริปต์: lib/server/file-retention.test.ts
ชื่อเทสต์: file retention policy supports the seven-year document retention default</t>
        </is>
      </c>
    </row>
    <row r="101" ht="60" customHeight="1">
      <c r="A101" s="23" t="inlineStr">
        <is>
          <t>TC_UNIT_SIG_001</t>
        </is>
      </c>
      <c r="B101" s="24" t="inlineStr">
        <is>
          <t>File Upload Security</t>
        </is>
      </c>
      <c r="C101" s="24" t="inlineStr">
        <is>
          <t>อ่านชนิดไฟล์จาก magic bytes ไม่เชื่อนามสกุล</t>
        </is>
      </c>
      <c r="D101" s="24" t="inlineStr">
        <is>
          <t>ไม่ต้องใช้ฐานข้อมูล · เรียกฟังก์ชันโดยตรงใน Vitest</t>
        </is>
      </c>
      <c r="E101" s="24" t="inlineStr">
        <is>
          <t>1. เรียก detectUploadSignature() กับไบต์ PNG, JPG, PDF</t>
        </is>
      </c>
      <c r="F101" s="24" t="inlineStr">
        <is>
          <t>89 50 4E 47 · FF D8 FF · %PDF-1.7</t>
        </is>
      </c>
      <c r="G101" s="24" t="inlineStr">
        <is>
          <t>ได้ png, jpg, pdf พร้อม MIME ที่ถูกต้อง</t>
        </is>
      </c>
      <c r="H101" s="24" t="inlineStr">
        <is>
          <t>ผลตรงตามที่คาดหวัง — assertion ผ่านครบ (0.00 วินาที)</t>
        </is>
      </c>
      <c r="I101" s="25" t="inlineStr">
        <is>
          <t>Pass</t>
        </is>
      </c>
      <c r="J101" s="24" t="n"/>
      <c r="K101" s="24" t="n"/>
      <c r="L101" s="24" t="inlineStr">
        <is>
          <t>Node.js 22.19 · Vitest 4.1.11 · Windows 11 (ไม่ใช้ฐานข้อมูล)</t>
        </is>
      </c>
      <c r="M101" s="24" t="inlineStr">
        <is>
          <t>Vitest 4.1.11 (อัตโนมัติ)</t>
        </is>
      </c>
      <c r="N101" s="26" t="n">
        <v>46324.78217152778</v>
      </c>
      <c r="O101" s="24" t="inlineStr">
        <is>
          <t>ผลรายเคสอยู่ในไฟล์ JSON ของ Vitest (evidence-api/)</t>
        </is>
      </c>
      <c r="P101" s="24" t="inlineStr">
        <is>
          <t>สคริปต์: lib/server/file-signatures.test.ts
ชื่อเทสต์: detectUploadSignature อ่านชนิดไฟล์จากไบต์เปิดหัวของแต่ละรูปแบบ</t>
        </is>
      </c>
    </row>
    <row r="102" ht="60" customHeight="1">
      <c r="A102" s="23" t="inlineStr">
        <is>
          <t>TC_UNIT_SIG_002</t>
        </is>
      </c>
      <c r="B102" s="24" t="inlineStr">
        <is>
          <t>File Upload Security</t>
        </is>
      </c>
      <c r="C102" s="24" t="inlineStr">
        <is>
          <t>แยก WebP ออกจากไฟล์ RIFF อื่น เช่น WAV</t>
        </is>
      </c>
      <c r="D102" s="24" t="inlineStr">
        <is>
          <t>ไม่ต้องใช้ฐานข้อมูล · เรียกฟังก์ชันโดยตรงใน Vitest</t>
        </is>
      </c>
      <c r="E102" s="24" t="inlineStr">
        <is>
          <t>1. ตรวจไบต์ RIFF…WEBP
2. ตรวจไบต์ RIFF…WAVE</t>
        </is>
      </c>
      <c r="F102" s="24" t="inlineStr">
        <is>
          <t>RIFF + WEBP · RIFF + WAVE</t>
        </is>
      </c>
      <c r="G102" s="24" t="inlineStr">
        <is>
          <t>WEBP → image/webp · WAVE → null</t>
        </is>
      </c>
      <c r="H102" s="24" t="inlineStr">
        <is>
          <t>ผลตรงตามที่คาดหวัง — assertion ผ่านครบ (0.00 วินาที)</t>
        </is>
      </c>
      <c r="I102" s="25" t="inlineStr">
        <is>
          <t>Pass</t>
        </is>
      </c>
      <c r="J102" s="24" t="n"/>
      <c r="K102" s="24" t="n"/>
      <c r="L102" s="24" t="inlineStr">
        <is>
          <t>Node.js 22.19 · Vitest 4.1.11 · Windows 11 (ไม่ใช้ฐานข้อมูล)</t>
        </is>
      </c>
      <c r="M102" s="24" t="inlineStr">
        <is>
          <t>Vitest 4.1.11 (อัตโนมัติ)</t>
        </is>
      </c>
      <c r="N102" s="26" t="n">
        <v>46324.78217157781</v>
      </c>
      <c r="O102" s="24" t="inlineStr">
        <is>
          <t>ผลรายเคสอยู่ในไฟล์ JSON ของ Vitest (evidence-api/)</t>
        </is>
      </c>
      <c r="P102" s="24" t="inlineStr">
        <is>
          <t>สคริปต์: lib/server/file-signatures.test.ts
ชื่อเทสต์: detectUploadSignature อ่าน WebP จากคอนเทนเนอร์ RIFF ซึ่งชนิดจริงอยู่ที่ไบต์ที่ 8</t>
        </is>
      </c>
    </row>
    <row r="103" ht="60" customHeight="1">
      <c r="A103" s="23" t="inlineStr">
        <is>
          <t>TC_UNIT_SIG_003</t>
        </is>
      </c>
      <c r="B103" s="24" t="inlineStr">
        <is>
          <t>File Upload Security</t>
        </is>
      </c>
      <c r="C103" s="24" t="inlineStr">
        <is>
          <t>แต่ละเส้นทางรับเฉพาะชนิดไฟล์ที่อนุญาต</t>
        </is>
      </c>
      <c r="D103" s="24" t="inlineStr">
        <is>
          <t>ไม่ต้องใช้ฐานข้อมูล · เรียกฟังก์ชันโดยตรงใน Vitest</t>
        </is>
      </c>
      <c r="E103" s="24" t="inlineStr">
        <is>
          <t>1. ตรวจ PDF กับ allowlist ทุกชนิด
2. ตรวจ PDF กับ allowlist รูปเท่านั้น</t>
        </is>
      </c>
      <c r="F103" s="24" t="inlineStr">
        <is>
          <t>%PDF-1.7 · [png, jpg]</t>
        </is>
      </c>
      <c r="G103" s="24" t="inlineStr">
        <is>
          <t>ทุกชนิดผ่าน · รูปเท่านั้นได้ null</t>
        </is>
      </c>
      <c r="H103" s="24" t="inlineStr">
        <is>
          <t>ผลตรงตามที่คาดหวัง — assertion ผ่านครบ (0.00 วินาที)</t>
        </is>
      </c>
      <c r="I103" s="25" t="inlineStr">
        <is>
          <t>Pass</t>
        </is>
      </c>
      <c r="J103" s="24" t="n"/>
      <c r="K103" s="24" t="n"/>
      <c r="L103" s="24" t="inlineStr">
        <is>
          <t>Node.js 22.19 · Vitest 4.1.11 · Windows 11 (ไม่ใช้ฐานข้อมูล)</t>
        </is>
      </c>
      <c r="M103" s="24" t="inlineStr">
        <is>
          <t>Vitest 4.1.11 (อัตโนมัติ)</t>
        </is>
      </c>
      <c r="N103" s="26" t="n">
        <v>46324.78217158575</v>
      </c>
      <c r="O103" s="24" t="inlineStr">
        <is>
          <t>ผลรายเคสอยู่ในไฟล์ JSON ของ Vitest (evidence-api/)</t>
        </is>
      </c>
      <c r="P103" s="24" t="inlineStr">
        <is>
          <t>สคริปต์: lib/server/file-signatures.test.ts
ชื่อเทสต์: detectUploadSignature ปฏิเสธชนิดที่ไม่อยู่ใน allowlist ของเส้นทางนั้น</t>
        </is>
      </c>
    </row>
    <row r="104" ht="60" customHeight="1">
      <c r="A104" s="23" t="inlineStr">
        <is>
          <t>TC_UNIT_SIG_004</t>
        </is>
      </c>
      <c r="B104" s="24" t="inlineStr">
        <is>
          <t>File Upload Security</t>
        </is>
      </c>
      <c r="C104" s="24" t="inlineStr">
        <is>
          <t>ปฏิเสธไฟล์ไม่รู้จัก ไฟล์ว่าง ไฟล์สั้นเกิน และสคริปต์ PHP</t>
        </is>
      </c>
      <c r="D104" s="24" t="inlineStr">
        <is>
          <t>ไม่ต้องใช้ฐานข้อมูล · เรียกฟังก์ชันโดยตรงใน Vitest</t>
        </is>
      </c>
      <c r="E104" s="24" t="inlineStr">
        <is>
          <t>1. ตรวจไบต์แต่ละแบบ</t>
        </is>
      </c>
      <c r="F104" s="24" t="inlineStr">
        <is>
          <t>00 01 02 03 · 0 ไบต์ · 89 50 4E · &lt;?php system(...) ?&gt;</t>
        </is>
      </c>
      <c r="G104" s="24" t="inlineStr">
        <is>
          <t>ทุกกรณีได้ null</t>
        </is>
      </c>
      <c r="H104" s="24" t="inlineStr">
        <is>
          <t>ผลตรงตามที่คาดหวัง — assertion ผ่านครบ (0.00 วินาที)</t>
        </is>
      </c>
      <c r="I104" s="25" t="inlineStr">
        <is>
          <t>Pass</t>
        </is>
      </c>
      <c r="J104" s="24" t="n"/>
      <c r="K104" s="24" t="n"/>
      <c r="L104" s="24" t="inlineStr">
        <is>
          <t>Node.js 22.19 · Vitest 4.1.11 · Windows 11 (ไม่ใช้ฐานข้อมูล)</t>
        </is>
      </c>
      <c r="M104" s="24" t="inlineStr">
        <is>
          <t>Vitest 4.1.11 (อัตโนมัติ)</t>
        </is>
      </c>
      <c r="N104" s="26" t="n">
        <v>46324.78217159004</v>
      </c>
      <c r="O104" s="24" t="inlineStr">
        <is>
          <t>ผลรายเคสอยู่ในไฟล์ JSON ของ Vitest (evidence-api/)</t>
        </is>
      </c>
      <c r="P104" s="24" t="inlineStr">
        <is>
          <t>สคริปต์: lib/server/file-signatures.test.ts
ชื่อเทสต์: detectUploadSignature ปฏิเสธไฟล์ที่ไม่รู้จักและไฟล์ที่สั้นเกินกว่าจะมีลายเซ็นครบ</t>
        </is>
      </c>
    </row>
    <row r="105" ht="60" customHeight="1">
      <c r="A105" s="23" t="inlineStr">
        <is>
          <t>TC_UNIT_PAGE_001</t>
        </is>
      </c>
      <c r="B105" s="24" t="inlineStr">
        <is>
          <t>Pagination</t>
        </is>
      </c>
      <c r="C105" s="24" t="inlineStr">
        <is>
          <t>ค่าเริ่มต้นแบ่งหน้าปลอดภัย และดึงเกิน 1 แถวเพื่อรู้ว่ามีหน้าถัดไป</t>
        </is>
      </c>
      <c r="D105" s="24" t="inlineStr">
        <is>
          <t>ไม่ต้องใช้ฐานข้อมูล · เรียกฟังก์ชันโดยตรงใน Vitest</t>
        </is>
      </c>
      <c r="E105" s="24" t="inlineStr">
        <is>
          <t>1. parsePagination(ว่าง)
2. paginationQuery()</t>
        </is>
      </c>
      <c r="F105" s="24" t="inlineStr">
        <is>
          <t>ไม่มี query</t>
        </is>
      </c>
      <c r="G105" s="24" t="inlineStr">
        <is>
          <t>page 1, pageSize 50 · skip 0, take 51</t>
        </is>
      </c>
      <c r="H105" s="24" t="inlineStr">
        <is>
          <t>ผลตรงตามที่คาดหวัง — assertion ผ่านครบ (0.01 วินาที)</t>
        </is>
      </c>
      <c r="I105" s="25" t="inlineStr">
        <is>
          <t>Pass</t>
        </is>
      </c>
      <c r="J105" s="24" t="n"/>
      <c r="K105" s="24" t="n"/>
      <c r="L105" s="24" t="inlineStr">
        <is>
          <t>Node.js 22.19 · Vitest 4.1.11 · Windows 11 (ไม่ใช้ฐานข้อมูล)</t>
        </is>
      </c>
      <c r="M105" s="24" t="inlineStr">
        <is>
          <t>Vitest 4.1.11 (อัตโนมัติ)</t>
        </is>
      </c>
      <c r="N105" s="26" t="n">
        <v>46324.78217231482</v>
      </c>
      <c r="O105" s="24" t="inlineStr">
        <is>
          <t>ผลรายเคสอยู่ในไฟล์ JSON ของ Vitest (evidence-api/)</t>
        </is>
      </c>
      <c r="P105" s="24" t="inlineStr">
        <is>
          <t>สคริปต์: lib/server/pagination.test.ts
ชื่อเทสต์: pagination uses safe defaults and fetches one extra row</t>
        </is>
      </c>
    </row>
    <row r="106" ht="60" customHeight="1">
      <c r="A106" s="23" t="inlineStr">
        <is>
          <t>TC_UNIT_PAGE_002</t>
        </is>
      </c>
      <c r="B106" s="24" t="inlineStr">
        <is>
          <t>Pagination</t>
        </is>
      </c>
      <c r="C106" s="24" t="inlineStr">
        <is>
          <t>คำนวณ offset และบอกว่ามีหน้าถัดไปโดยไม่คืนแถวเกิน</t>
        </is>
      </c>
      <c r="D106" s="24" t="inlineStr">
        <is>
          <t>ไม่ต้องใช้ฐานข้อมูล · เรียกฟังก์ชันโดยตรงใน Vitest</t>
        </is>
      </c>
      <c r="E106" s="24" t="inlineStr">
        <is>
          <t>1. parsePagination(page 3, size 2)
2. toPaginatedResult()</t>
        </is>
      </c>
      <c r="F106" s="24" t="inlineStr">
        <is>
          <t>page = 3 · pageSize = 2 · ข้อมูล [a,b,c]</t>
        </is>
      </c>
      <c r="G106" s="24" t="inlineStr">
        <is>
          <t>skip 4, take 3 · data [a,b] · hasNextPage = true</t>
        </is>
      </c>
      <c r="H106" s="24" t="inlineStr">
        <is>
          <t>ผลตรงตามที่คาดหวัง — assertion ผ่านครบ (0.00 วินาที)</t>
        </is>
      </c>
      <c r="I106" s="25" t="inlineStr">
        <is>
          <t>Pass</t>
        </is>
      </c>
      <c r="J106" s="24" t="n"/>
      <c r="K106" s="24" t="n"/>
      <c r="L106" s="24" t="inlineStr">
        <is>
          <t>Node.js 22.19 · Vitest 4.1.11 · Windows 11 (ไม่ใช้ฐานข้อมูล)</t>
        </is>
      </c>
      <c r="M106" s="24" t="inlineStr">
        <is>
          <t>Vitest 4.1.11 (อัตโนมัติ)</t>
        </is>
      </c>
      <c r="N106" s="26" t="n">
        <v>46324.78217242182</v>
      </c>
      <c r="O106" s="24" t="inlineStr">
        <is>
          <t>ผลรายเคสอยู่ในไฟล์ JSON ของ Vitest (evidence-api/)</t>
        </is>
      </c>
      <c r="P106" s="24" t="inlineStr">
        <is>
          <t>สคริปต์: lib/server/pagination.test.ts
ชื่อเทสต์: pagination calculates page offsets and reports a next page without returning the extra row</t>
        </is>
      </c>
    </row>
    <row r="107" ht="60" customHeight="1">
      <c r="A107" s="23" t="inlineStr">
        <is>
          <t>TC_UNIT_PAGE_003</t>
        </is>
      </c>
      <c r="B107" s="24" t="inlineStr">
        <is>
          <t>Pagination</t>
        </is>
      </c>
      <c r="C107" s="24" t="inlineStr">
        <is>
          <t>ปฏิเสธเลขหน้าและขนาดหน้าที่ผิด (Boundary)</t>
        </is>
      </c>
      <c r="D107" s="24" t="inlineStr">
        <is>
          <t>ไม่ต้องใช้ฐานข้อมูล · เรียกฟังก์ชันโดยตรงใน Vitest</t>
        </is>
      </c>
      <c r="E107" s="24" t="inlineStr">
        <is>
          <t>1. parse page=0
2. parse pageSize=101
3. parse pageSize ไม่ใช่ตัวเลข</t>
        </is>
      </c>
      <c r="F107" s="24" t="inlineStr">
        <is>
          <t>0 · 101 · not-a-number</t>
        </is>
      </c>
      <c r="G107" s="24" t="inlineStr">
        <is>
          <t>ทุกกรณีถูกปฏิเสธ</t>
        </is>
      </c>
      <c r="H107" s="24" t="inlineStr">
        <is>
          <t>ผลตรงตามที่คาดหวัง — assertion ผ่านครบ (0.00 วินาที)</t>
        </is>
      </c>
      <c r="I107" s="25" t="inlineStr">
        <is>
          <t>Pass</t>
        </is>
      </c>
      <c r="J107" s="24" t="n"/>
      <c r="K107" s="24" t="n"/>
      <c r="L107" s="24" t="inlineStr">
        <is>
          <t>Node.js 22.19 · Vitest 4.1.11 · Windows 11 (ไม่ใช้ฐานข้อมูล)</t>
        </is>
      </c>
      <c r="M107" s="24" t="inlineStr">
        <is>
          <t>Vitest 4.1.11 (อัตโนมัติ)</t>
        </is>
      </c>
      <c r="N107" s="26" t="n">
        <v>46324.78217243773</v>
      </c>
      <c r="O107" s="24" t="inlineStr">
        <is>
          <t>ผลรายเคสอยู่ในไฟล์ JSON ของ Vitest (evidence-api/)</t>
        </is>
      </c>
      <c r="P107" s="24" t="inlineStr">
        <is>
          <t>สคริปต์: lib/server/pagination.test.ts
ชื่อเทสต์: pagination rejects invalid and oversized page sizes</t>
        </is>
      </c>
    </row>
    <row r="108" ht="60" customHeight="1">
      <c r="A108" s="23" t="inlineStr">
        <is>
          <t>TC_UNIT_PWD_001</t>
        </is>
      </c>
      <c r="B108" s="24" t="inlineStr">
        <is>
          <t>Password Hashing</t>
        </is>
      </c>
      <c r="C108" s="24" t="inlineStr">
        <is>
          <t>ตรวจรหัสผ่านถูกและผิด</t>
        </is>
      </c>
      <c r="D108" s="24" t="inlineStr">
        <is>
          <t>ไม่ต้องใช้ฐานข้อมูล · เรียกฟังก์ชันโดยตรงใน Vitest</t>
        </is>
      </c>
      <c r="E108" s="24" t="inlineStr">
        <is>
          <t>1. hashPassword()
2. verifyPassword() รหัสถูก
3. verifyPassword() รหัสผิด</t>
        </is>
      </c>
      <c r="F108" s="24" t="inlineStr">
        <is>
          <t>"correct horse battery staple" · "wrong password"</t>
        </is>
      </c>
      <c r="G108" s="24" t="inlineStr">
        <is>
          <t>รหัสถูก true · รหัสผิด false</t>
        </is>
      </c>
      <c r="H108" s="24" t="inlineStr">
        <is>
          <t>ผลตรงตามที่คาดหวัง — assertion ผ่านครบ (0.34 วินาที)</t>
        </is>
      </c>
      <c r="I108" s="25" t="inlineStr">
        <is>
          <t>Pass</t>
        </is>
      </c>
      <c r="J108" s="24" t="n"/>
      <c r="K108" s="24" t="n"/>
      <c r="L108" s="24" t="inlineStr">
        <is>
          <t>Node.js 22.19 · Vitest 4.1.11 · Windows 11 (ไม่ใช้ฐานข้อมูล)</t>
        </is>
      </c>
      <c r="M108" s="24" t="inlineStr">
        <is>
          <t>Vitest 4.1.11 (อัตโนมัติ)</t>
        </is>
      </c>
      <c r="N108" s="26" t="n">
        <v>46324.78216174769</v>
      </c>
      <c r="O108" s="24" t="inlineStr">
        <is>
          <t>ผลรายเคสอยู่ในไฟล์ JSON ของ Vitest (evidence-api/)</t>
        </is>
      </c>
      <c r="P108" s="24" t="inlineStr">
        <is>
          <t>สคริปต์: lib/server/password.test.ts
ชื่อเทสต์: password hashing verifies the correct password and rejects an incorrect password</t>
        </is>
      </c>
    </row>
    <row r="109" ht="60" customHeight="1">
      <c r="A109" s="23" t="inlineStr">
        <is>
          <t>TC_UNIT_PWD_002</t>
        </is>
      </c>
      <c r="B109" s="24" t="inlineStr">
        <is>
          <t>Password Hashing</t>
        </is>
      </c>
      <c r="C109" s="24" t="inlineStr">
        <is>
          <t>รหัสเดียวกันได้แฮชต่างกัน (salt สุ่ม)</t>
        </is>
      </c>
      <c r="D109" s="24" t="inlineStr">
        <is>
          <t>ไม่ต้องใช้ฐานข้อมูล · เรียกฟังก์ชันโดยตรงใน Vitest</t>
        </is>
      </c>
      <c r="E109" s="24" t="inlineStr">
        <is>
          <t>1. hash รหัสเดียวกันสองครั้ง</t>
        </is>
      </c>
      <c r="F109" s="24" t="inlineStr">
        <is>
          <t>"same secure password"</t>
        </is>
      </c>
      <c r="G109" s="24" t="inlineStr">
        <is>
          <t>แฮชสองค่าไม่เท่ากัน</t>
        </is>
      </c>
      <c r="H109" s="24" t="inlineStr">
        <is>
          <t>ผลตรงตามที่คาดหวัง — assertion ผ่านครบ (0.22 วินาที)</t>
        </is>
      </c>
      <c r="I109" s="25" t="inlineStr">
        <is>
          <t>Pass</t>
        </is>
      </c>
      <c r="J109" s="24" t="n"/>
      <c r="K109" s="24" t="n"/>
      <c r="L109" s="24" t="inlineStr">
        <is>
          <t>Node.js 22.19 · Vitest 4.1.11 · Windows 11 (ไม่ใช้ฐานข้อมูล)</t>
        </is>
      </c>
      <c r="M109" s="24" t="inlineStr">
        <is>
          <t>Vitest 4.1.11 (อัตโนมัติ)</t>
        </is>
      </c>
      <c r="N109" s="26" t="n">
        <v>46324.78216571538</v>
      </c>
      <c r="O109" s="24" t="inlineStr">
        <is>
          <t>ผลรายเคสอยู่ในไฟล์ JSON ของ Vitest (evidence-api/)</t>
        </is>
      </c>
      <c r="P109" s="24" t="inlineStr">
        <is>
          <t>สคริปต์: lib/server/password.test.ts
ชื่อเทสต์: password hashing uses a unique salt for every password</t>
        </is>
      </c>
    </row>
    <row r="110" ht="60" customHeight="1">
      <c r="A110" s="23" t="inlineStr">
        <is>
          <t>TC_UNIT_PWD_003</t>
        </is>
      </c>
      <c r="B110" s="24" t="inlineStr">
        <is>
          <t>Password Hashing</t>
        </is>
      </c>
      <c r="C110" s="24" t="inlineStr">
        <is>
          <t>แฮชที่เก็บไว้ผิดรูปแบบต้องไม่ผ่าน</t>
        </is>
      </c>
      <c r="D110" s="24" t="inlineStr">
        <is>
          <t>ไม่ต้องใช้ฐานข้อมูล · เรียกฟังก์ชันโดยตรงใน Vitest</t>
        </is>
      </c>
      <c r="E110" s="24" t="inlineStr">
        <is>
          <t>1. verifyPassword() กับแฮชผิดรูปแบบ</t>
        </is>
      </c>
      <c r="F110" s="24" t="inlineStr">
        <is>
          <t>"not-a-valid-hash"</t>
        </is>
      </c>
      <c r="G110" s="24" t="inlineStr">
        <is>
          <t>ได้ false (ไม่ crash)</t>
        </is>
      </c>
      <c r="H110" s="24" t="inlineStr">
        <is>
          <t>ผลตรงตามที่คาดหวัง — assertion ผ่านครบ (0.00 วินาที)</t>
        </is>
      </c>
      <c r="I110" s="25" t="inlineStr">
        <is>
          <t>Pass</t>
        </is>
      </c>
      <c r="J110" s="24" t="n"/>
      <c r="K110" s="24" t="n"/>
      <c r="L110" s="24" t="inlineStr">
        <is>
          <t>Node.js 22.19 · Vitest 4.1.11 · Windows 11 (ไม่ใช้ฐานข้อมูล)</t>
        </is>
      </c>
      <c r="M110" s="24" t="inlineStr">
        <is>
          <t>Vitest 4.1.11 (อัตโนมัติ)</t>
        </is>
      </c>
      <c r="N110" s="26" t="n">
        <v>46324.78216826243</v>
      </c>
      <c r="O110" s="24" t="inlineStr">
        <is>
          <t>ผลรายเคสอยู่ในไฟล์ JSON ของ Vitest (evidence-api/)</t>
        </is>
      </c>
      <c r="P110" s="24" t="inlineStr">
        <is>
          <t>สคริปต์: lib/server/password.test.ts
ชื่อเทสต์: password hashing rejects malformed stored hashes</t>
        </is>
      </c>
    </row>
    <row r="111" ht="60" customHeight="1">
      <c r="A111" s="23" t="inlineStr">
        <is>
          <t>TC_UNIT_SUB_001</t>
        </is>
      </c>
      <c r="B111" s="24" t="inlineStr">
        <is>
          <t>Subscription Guard</t>
        </is>
      </c>
      <c r="C111" s="24" t="inlineStr">
        <is>
          <t>แพ็กเกจ ACTIVE/TRIAL ใช้ได้เฉพาะในช่วงอายุ</t>
        </is>
      </c>
      <c r="D111" s="24" t="inlineStr">
        <is>
          <t>กำหนดเวลาปัจจุบัน = 2026-07-29</t>
        </is>
      </c>
      <c r="E111" s="24" t="inlineStr">
        <is>
          <t>1. ตรวจ ACTIVE, TRIAL
2. ตรวจ null, SUSPENDED, EXPIRED, ยังไม่เริ่ม, หมดอายุพอดีวันนี้</t>
        </is>
      </c>
      <c r="F111" s="24" t="inlineStr">
        <is>
          <t>startsAt 2026-01-01 · expiresAt 2027-01-01</t>
        </is>
      </c>
      <c r="G111" s="24" t="inlineStr">
        <is>
          <t>ACTIVE และ TRIAL ผ่าน · กรณีอื่นถูกปฏิเสธทั้งหมด</t>
        </is>
      </c>
      <c r="H111" s="24" t="inlineStr">
        <is>
          <t>ผลตรงตามที่คาดหวัง — assertion ผ่านครบ (0.00 วินาที)</t>
        </is>
      </c>
      <c r="I111" s="25" t="inlineStr">
        <is>
          <t>Pass</t>
        </is>
      </c>
      <c r="J111" s="24" t="n"/>
      <c r="K111" s="24" t="n"/>
      <c r="L111" s="24" t="inlineStr">
        <is>
          <t>Node.js 22.19 · Vitest 4.1.11 · Windows 11 (ไม่ใช้ฐานข้อมูล)</t>
        </is>
      </c>
      <c r="M111" s="24" t="inlineStr">
        <is>
          <t>Vitest 4.1.11 (อัตโนมัติ)</t>
        </is>
      </c>
      <c r="N111" s="26" t="n">
        <v>46324.7821727199</v>
      </c>
      <c r="O111" s="24" t="inlineStr">
        <is>
          <t>ผลรายเคสอยู่ในไฟล์ JSON ของ Vitest (evidence-api/)</t>
        </is>
      </c>
      <c r="P111" s="24" t="inlineStr">
        <is>
          <t>สคริปต์: lib/server/subscription-guard.test.ts
ชื่อเทสต์: subscription guard allows active and trial subscriptions only inside their validity period</t>
        </is>
      </c>
    </row>
    <row r="112" ht="60" customHeight="1">
      <c r="A112" s="23" t="inlineStr">
        <is>
          <t>TC_UNIT_SUB_002</t>
        </is>
      </c>
      <c r="B112" s="24" t="inlineStr">
        <is>
          <t>Subscription Guard</t>
        </is>
      </c>
      <c r="C112" s="24" t="inlineStr">
        <is>
          <t>ฟีเจอร์ที่แพ็กเกจไม่มี หรือข้อมูลแพ็กเกจหาย ต้องปฏิเสธไว้ก่อน (Fail-closed)</t>
        </is>
      </c>
      <c r="D112" s="24" t="inlineStr">
        <is>
          <t>กำหนดเวลาปัจจุบัน = 2026-07-29</t>
        </is>
      </c>
      <c r="E112" s="24" t="inlineStr">
        <is>
          <t>1. ตรวจ allowPromptPay
2. ตรวจ allowFileUploads ที่ปิดอยู่
3. ตรวจ plan = null
4. ตรวจ subscription = null</t>
        </is>
      </c>
      <c r="F112" s="24" t="inlineStr">
        <is>
          <t>allowPromptPay = true · allowFileUploads = false</t>
        </is>
      </c>
      <c r="G112" s="24" t="inlineStr">
        <is>
          <t>ข้อ 1 ผ่าน · ข้อ 2–4 ถูกปฏิเสธ</t>
        </is>
      </c>
      <c r="H112" s="24" t="inlineStr">
        <is>
          <t>ผลตรงตามที่คาดหวัง — assertion ผ่านครบ (0.00 วินาที)</t>
        </is>
      </c>
      <c r="I112" s="25" t="inlineStr">
        <is>
          <t>Pass</t>
        </is>
      </c>
      <c r="J112" s="24" t="n"/>
      <c r="K112" s="24" t="n"/>
      <c r="L112" s="24" t="inlineStr">
        <is>
          <t>Node.js 22.19 · Vitest 4.1.11 · Windows 11 (ไม่ใช้ฐานข้อมูล)</t>
        </is>
      </c>
      <c r="M112" s="24" t="inlineStr">
        <is>
          <t>Vitest 4.1.11 (อัตโนมัติ)</t>
        </is>
      </c>
      <c r="N112" s="26" t="n">
        <v>46324.78217276273</v>
      </c>
      <c r="O112" s="24" t="inlineStr">
        <is>
          <t>ผลรายเคสอยู่ในไฟล์ JSON ของ Vitest (evidence-api/)</t>
        </is>
      </c>
      <c r="P112" s="24" t="inlineStr">
        <is>
          <t>สคริปต์: lib/server/subscription-guard.test.ts
ชื่อเทสต์: subscription guard fails closed when a feature plan is missing or the feature is disabled</t>
        </is>
      </c>
    </row>
    <row r="113" ht="60" customHeight="1">
      <c r="A113" s="23" t="inlineStr">
        <is>
          <t>TC_UNIT_SUB_003</t>
        </is>
      </c>
      <c r="B113" s="24" t="inlineStr">
        <is>
          <t>Subscription Guard</t>
        </is>
      </c>
      <c r="C113" s="24" t="inlineStr">
        <is>
          <t>แยกโหมด FULL / GRACE / READ_ONLY ตามวันหมดอายุและระยะผ่อนผัน 7 วัน</t>
        </is>
      </c>
      <c r="D113" s="24" t="inlineStr">
        <is>
          <t>กำหนดเวลาปัจจุบัน = 2026-07-29</t>
        </is>
      </c>
      <c r="E113" s="24" t="inlineStr">
        <is>
          <t>1. ตรวจแพ็กเกจปกติ
2. ตรวจหมดอายุ 2 วัน
3. ตรวจหมดอายุ 28 วัน</t>
        </is>
      </c>
      <c r="F113" s="24" t="inlineStr">
        <is>
          <t>expiresAt 2026-07-27 · 2026-07-01 · grace = 7 วัน</t>
        </is>
      </c>
      <c r="G113" s="24" t="inlineStr">
        <is>
          <t>FULL · GRACE (ยังเขียนได้) · READ_ONLY และเขียนแล้วแจ้ง "อ่านข้อมูลเท่านั้น"</t>
        </is>
      </c>
      <c r="H113" s="24" t="inlineStr">
        <is>
          <t>ผลตรงตามที่คาดหวัง — assertion ผ่านครบ (0.00 วินาที)</t>
        </is>
      </c>
      <c r="I113" s="25" t="inlineStr">
        <is>
          <t>Pass</t>
        </is>
      </c>
      <c r="J113" s="24" t="n"/>
      <c r="K113" s="24" t="n"/>
      <c r="L113" s="24" t="inlineStr">
        <is>
          <t>Node.js 22.19 · Vitest 4.1.11 · Windows 11 (ไม่ใช้ฐานข้อมูล)</t>
        </is>
      </c>
      <c r="M113" s="24" t="inlineStr">
        <is>
          <t>Vitest 4.1.11 (อัตโนมัติ)</t>
        </is>
      </c>
      <c r="N113" s="26" t="n">
        <v>46324.78217277646</v>
      </c>
      <c r="O113" s="24" t="inlineStr">
        <is>
          <t>ผลรายเคสอยู่ในไฟล์ JSON ของ Vitest (evidence-api/)</t>
        </is>
      </c>
      <c r="P113" s="24" t="inlineStr">
        <is>
          <t>สคริปต์: lib/server/subscription-guard.test.ts
ชื่อเทสต์: subscription guard separates full, grace-period, and read-only access</t>
        </is>
      </c>
    </row>
    <row r="114" ht="60" customHeight="1">
      <c r="A114" s="23" t="inlineStr">
        <is>
          <t>TC_UNIT_SUB_004</t>
        </is>
      </c>
      <c r="B114" s="24" t="inlineStr">
        <is>
          <t>Subscription Guard</t>
        </is>
      </c>
      <c r="C114" s="24" t="inlineStr">
        <is>
          <t>ไม่มีแพ็กเกจ / ถูกระงับ / ยังไม่เริ่ม ต้องเป็นอ่านอย่างเดียว</t>
        </is>
      </c>
      <c r="D114" s="24" t="inlineStr">
        <is>
          <t>กำหนดเวลาปัจจุบัน = 2026-07-29</t>
        </is>
      </c>
      <c r="E114" s="24" t="inlineStr">
        <is>
          <t>1. ตรวจ null
2. ตรวจ SUSPENDED
3. ตรวจเริ่ม 2026-08-01</t>
        </is>
      </c>
      <c r="F114" s="24" t="inlineStr">
        <is>
          <t>null · SUSPENDED · startsAt อนาคต</t>
        </is>
      </c>
      <c r="G114" s="24" t="inlineStr">
        <is>
          <t>ทุกกรณีได้ READ_ONLY</t>
        </is>
      </c>
      <c r="H114" s="24" t="inlineStr">
        <is>
          <t>ผลตรงตามที่คาดหวัง — assertion ผ่านครบ (0.00 วินาที)</t>
        </is>
      </c>
      <c r="I114" s="25" t="inlineStr">
        <is>
          <t>Pass</t>
        </is>
      </c>
      <c r="J114" s="24" t="n"/>
      <c r="K114" s="24" t="n"/>
      <c r="L114" s="24" t="inlineStr">
        <is>
          <t>Node.js 22.19 · Vitest 4.1.11 · Windows 11 (ไม่ใช้ฐานข้อมูล)</t>
        </is>
      </c>
      <c r="M114" s="24" t="inlineStr">
        <is>
          <t>Vitest 4.1.11 (อัตโนมัติ)</t>
        </is>
      </c>
      <c r="N114" s="26" t="n">
        <v>46324.78217280078</v>
      </c>
      <c r="O114" s="24" t="inlineStr">
        <is>
          <t>ผลรายเคสอยู่ในไฟล์ JSON ของ Vitest (evidence-api/)</t>
        </is>
      </c>
      <c r="P114" s="24" t="inlineStr">
        <is>
          <t>สคริปต์: lib/server/subscription-guard.test.ts
ชื่อเทสต์: subscription guard makes missing, suspended, and not-yet-started subscriptions read-only</t>
        </is>
      </c>
    </row>
    <row r="115" ht="60" customHeight="1">
      <c r="A115" s="23" t="inlineStr">
        <is>
          <t>TC_UNIT_TAUTH_001</t>
        </is>
      </c>
      <c r="B115" s="24" t="inlineStr">
        <is>
          <t>Tenant Authorization</t>
        </is>
      </c>
      <c r="C115" s="24" t="inlineStr">
        <is>
          <t>ข้อมูลการเงินเปิดให้เฉพาะผู้เช่าหลักที่สถานะ ACTIVE</t>
        </is>
      </c>
      <c r="D115" s="24" t="inlineStr">
        <is>
          <t>ไม่ต้องใช้ฐานข้อมูล · เรียกฟังก์ชันโดยตรงใน Vitest</t>
        </is>
      </c>
      <c r="E115" s="24" t="inlineStr">
        <is>
          <t>1. เรียก canAccessTenantFinancialRecords() หลายกรณี</t>
        </is>
      </c>
      <c r="F115" s="24" t="inlineStr">
        <is>
          <t>PRIMARY+ACTIVE · PRIMARY+PENDING · CO_OCCUPANT+ACTIVE</t>
        </is>
      </c>
      <c r="G115" s="24" t="inlineStr">
        <is>
          <t>true · false · false</t>
        </is>
      </c>
      <c r="H115" s="24" t="inlineStr">
        <is>
          <t>ผลตรงตามที่คาดหวัง — assertion ผ่านครบ (0.00 วินาที)</t>
        </is>
      </c>
      <c r="I115" s="25" t="inlineStr">
        <is>
          <t>Pass</t>
        </is>
      </c>
      <c r="J115" s="24" t="n"/>
      <c r="K115" s="24" t="n"/>
      <c r="L115" s="24" t="inlineStr">
        <is>
          <t>Node.js 22.19 · Vitest 4.1.11 · Windows 11 (ไม่ใช้ฐานข้อมูล)</t>
        </is>
      </c>
      <c r="M115" s="24" t="inlineStr">
        <is>
          <t>Vitest 4.1.11 (อัตโนมัติ)</t>
        </is>
      </c>
      <c r="N115" s="26" t="n">
        <v>46324.78217592592</v>
      </c>
      <c r="O115" s="24" t="inlineStr">
        <is>
          <t>ผลรายเคสอยู่ในไฟล์ JSON ของ Vitest (evidence-api/)</t>
        </is>
      </c>
      <c r="P115" s="24" t="inlineStr">
        <is>
          <t>สคริปต์: lib/server/tenant-auth.test.ts
ชื่อเทสต์: tenant record ownership policy allows financial records only for an active primary occupant</t>
        </is>
      </c>
    </row>
    <row r="116" ht="60" customHeight="1">
      <c r="A116" s="23" t="inlineStr">
        <is>
          <t>TC_UNIT_TAUTH_002</t>
        </is>
      </c>
      <c r="B116" s="24" t="inlineStr">
        <is>
          <t>Tenant Authorization</t>
        </is>
      </c>
      <c r="C116" s="24" t="inlineStr">
        <is>
          <t>รหัสเอกสารผิดรูปแบบตอบว่าไม่พบ (กัน Path Traversal)</t>
        </is>
      </c>
      <c r="D116" s="24" t="inlineStr">
        <is>
          <t>ไม่ต้องใช้ฐานข้อมูล · เรียกฟังก์ชันโดยตรงใน Vitest</t>
        </is>
      </c>
      <c r="E116" s="24" t="inlineStr">
        <is>
          <t>1. เรียก parseTenantRecordId()</t>
        </is>
      </c>
      <c r="F116" s="24" t="inlineStr">
        <is>
          <t>../../../invoice</t>
        </is>
      </c>
      <c r="G116" s="24" t="inlineStr">
        <is>
          <t>แจ้ง "ไม่พบข้อมูล"</t>
        </is>
      </c>
      <c r="H116" s="24" t="inlineStr">
        <is>
          <t>ผลตรงตามที่คาดหวัง — assertion ผ่านครบ (0.00 วินาที)</t>
        </is>
      </c>
      <c r="I116" s="25" t="inlineStr">
        <is>
          <t>Pass</t>
        </is>
      </c>
      <c r="J116" s="24" t="n"/>
      <c r="K116" s="24" t="n"/>
      <c r="L116" s="24" t="inlineStr">
        <is>
          <t>Node.js 22.19 · Vitest 4.1.11 · Windows 11 (ไม่ใช้ฐานข้อมูล)</t>
        </is>
      </c>
      <c r="M116" s="24" t="inlineStr">
        <is>
          <t>Vitest 4.1.11 (อัตโนมัติ)</t>
        </is>
      </c>
      <c r="N116" s="26" t="n">
        <v>46324.78217595041</v>
      </c>
      <c r="O116" s="24" t="inlineStr">
        <is>
          <t>ผลรายเคสอยู่ในไฟล์ JSON ของ Vitest (evidence-api/)</t>
        </is>
      </c>
      <c r="P116" s="24" t="inlineStr">
        <is>
          <t>สคริปต์: lib/server/tenant-auth.test.ts
ชื่อเทสต์: tenant record ownership policy returns not-found semantics for malformed record identifiers</t>
        </is>
      </c>
    </row>
    <row r="117" ht="60" customHeight="1">
      <c r="A117" s="23" t="inlineStr">
        <is>
          <t>TC_UNIT_TVIEW_001</t>
        </is>
      </c>
      <c r="B117" s="24" t="inlineStr">
        <is>
          <t>Tenant Views</t>
        </is>
      </c>
      <c r="C117" s="24" t="inlineStr">
        <is>
          <t>แยกบิลที่ต้องจ่ายออกจากประวัติ</t>
        </is>
      </c>
      <c r="D117" s="24" t="inlineStr">
        <is>
          <t>ไม่ต้องใช้ฐานข้อมูล · เรียกฟังก์ชันโดยตรงใน Vitest</t>
        </is>
      </c>
      <c r="E117" s="24" t="inlineStr">
        <is>
          <t>1. อ่าน TENANT_INVOICE_VIEW_STATUSES</t>
        </is>
      </c>
      <c r="F117" s="24" t="inlineStr">
        <is>
          <t>current · history</t>
        </is>
      </c>
      <c r="G117" s="24" t="inlineStr">
        <is>
          <t>current = PENDING, OVERDUE · history = PAID, CANCELLED</t>
        </is>
      </c>
      <c r="H117" s="24" t="inlineStr">
        <is>
          <t>ผลตรงตามที่คาดหวัง — assertion ผ่านครบ (0.00 วินาที)</t>
        </is>
      </c>
      <c r="I117" s="25" t="inlineStr">
        <is>
          <t>Pass</t>
        </is>
      </c>
      <c r="J117" s="24" t="n"/>
      <c r="K117" s="24" t="n"/>
      <c r="L117" s="24" t="inlineStr">
        <is>
          <t>Node.js 22.19 · Vitest 4.1.11 · Windows 11 (ไม่ใช้ฐานข้อมูล)</t>
        </is>
      </c>
      <c r="M117" s="24" t="inlineStr">
        <is>
          <t>Vitest 4.1.11 (อัตโนมัติ)</t>
        </is>
      </c>
      <c r="N117" s="26" t="n">
        <v>46324.78217134259</v>
      </c>
      <c r="O117" s="24" t="inlineStr">
        <is>
          <t>ผลรายเคสอยู่ในไฟล์ JSON ของ Vitest (evidence-api/)</t>
        </is>
      </c>
      <c r="P117" s="24" t="inlineStr">
        <is>
          <t>สคริปต์: lib/tenant-invoice-view.test.ts
ชื่อเทสต์: tenant invoice views keeps actionable invoices separate from completed history</t>
        </is>
      </c>
    </row>
    <row r="118" ht="60" customHeight="1">
      <c r="A118" s="23" t="inlineStr">
        <is>
          <t>TC_UNIT_TVIEW_002</t>
        </is>
      </c>
      <c r="B118" s="24" t="inlineStr">
        <is>
          <t>Tenant Views</t>
        </is>
      </c>
      <c r="C118" s="24" t="inlineStr">
        <is>
          <t>ผู้เช่าต้องไม่เห็นบิลฉบับร่าง</t>
        </is>
      </c>
      <c r="D118" s="24" t="inlineStr">
        <is>
          <t>ไม่ต้องใช้ฐานข้อมูล · เรียกฟังก์ชันโดยตรงใน Vitest</t>
        </is>
      </c>
      <c r="E118" s="24" t="inlineStr">
        <is>
          <t>1. รวมทุกสถานะที่ผู้เช่าเห็น</t>
        </is>
      </c>
      <c r="F118" s="24" t="inlineStr">
        <is>
          <t>DRAFT</t>
        </is>
      </c>
      <c r="G118" s="24" t="inlineStr">
        <is>
          <t>ไม่มี DRAFT</t>
        </is>
      </c>
      <c r="H118" s="24" t="inlineStr">
        <is>
          <t>ผลตรงตามที่คาดหวัง — assertion ผ่านครบ (0.00 วินาที)</t>
        </is>
      </c>
      <c r="I118" s="25" t="inlineStr">
        <is>
          <t>Pass</t>
        </is>
      </c>
      <c r="J118" s="24" t="n"/>
      <c r="K118" s="24" t="n"/>
      <c r="L118" s="24" t="inlineStr">
        <is>
          <t>Node.js 22.19 · Vitest 4.1.11 · Windows 11 (ไม่ใช้ฐานข้อมูล)</t>
        </is>
      </c>
      <c r="M118" s="24" t="inlineStr">
        <is>
          <t>Vitest 4.1.11 (อัตโนมัติ)</t>
        </is>
      </c>
      <c r="N118" s="26" t="n">
        <v>46324.78217139552</v>
      </c>
      <c r="O118" s="24" t="inlineStr">
        <is>
          <t>ผลรายเคสอยู่ในไฟล์ JSON ของ Vitest (evidence-api/)</t>
        </is>
      </c>
      <c r="P118" s="24" t="inlineStr">
        <is>
          <t>สคริปต์: lib/tenant-invoice-view.test.ts
ชื่อเทสต์: tenant invoice views does not expose invoice drafts to tenants</t>
        </is>
      </c>
    </row>
    <row r="119" ht="60" customHeight="1">
      <c r="A119" s="23" t="inlineStr">
        <is>
          <t>TC_UNIT_TVIEW_003</t>
        </is>
      </c>
      <c r="B119" s="24" t="inlineStr">
        <is>
          <t>Tenant Views</t>
        </is>
      </c>
      <c r="C119" s="24" t="inlineStr">
        <is>
          <t>แยกพัสดุและเรื่องแจ้งที่ยังค้างออกจากประวัติ</t>
        </is>
      </c>
      <c r="D119" s="24" t="inlineStr">
        <is>
          <t>ไม่ต้องใช้ฐานข้อมูล · เรียกฟังก์ชันโดยตรงใน Vitest</t>
        </is>
      </c>
      <c r="E119" s="24" t="inlineStr">
        <is>
          <t>1. อ่านสถานะพัสดุและเรื่องแจ้ง</t>
        </is>
      </c>
      <c r="F119" s="24" t="inlineStr">
        <is>
          <t>WAITING/RECEIVED · OPEN…/RESOLVED, CANCELLED</t>
        </is>
      </c>
      <c r="G119" s="24" t="inlineStr">
        <is>
          <t>ค่าตรงตามที่กำหนด</t>
        </is>
      </c>
      <c r="H119" s="24" t="inlineStr">
        <is>
          <t>ผลตรงตามที่คาดหวัง — assertion ผ่านครบ (0.00 วินาที)</t>
        </is>
      </c>
      <c r="I119" s="25" t="inlineStr">
        <is>
          <t>Pass</t>
        </is>
      </c>
      <c r="J119" s="24" t="n"/>
      <c r="K119" s="24" t="n"/>
      <c r="L119" s="24" t="inlineStr">
        <is>
          <t>Node.js 22.19 · Vitest 4.1.11 · Windows 11 (ไม่ใช้ฐานข้อมูล)</t>
        </is>
      </c>
      <c r="M119" s="24" t="inlineStr">
        <is>
          <t>Vitest 4.1.11 (อัตโนมัติ)</t>
        </is>
      </c>
      <c r="N119" s="26" t="n">
        <v>46324.78217141698</v>
      </c>
      <c r="O119" s="24" t="inlineStr">
        <is>
          <t>ผลรายเคสอยู่ในไฟล์ JSON ของ Vitest (evidence-api/)</t>
        </is>
      </c>
      <c r="P119" s="24" t="inlineStr">
        <is>
          <t>สคริปต์: lib/tenant-invoice-view.test.ts
ชื่อเทสต์: tenant invoice views separates parcel and ticket histories from actionable records</t>
        </is>
      </c>
    </row>
    <row r="120" ht="60" customHeight="1">
      <c r="A120" s="23" t="inlineStr">
        <is>
          <t>TC_UNIT_LABEL_001</t>
        </is>
      </c>
      <c r="B120" s="24" t="inlineStr">
        <is>
          <t>UI Labels</t>
        </is>
      </c>
      <c r="C120" s="24" t="inlineStr">
        <is>
          <t>สถานะแสดงเป็นภาษาไทย ไม่แสดง enum ดิบ</t>
        </is>
      </c>
      <c r="D120" s="24" t="inlineStr">
        <is>
          <t>ไม่ต้องใช้ฐานข้อมูล · เรียกฟังก์ชันโดยตรงใน Vitest</t>
        </is>
      </c>
      <c r="E120" s="24" t="inlineStr">
        <is>
          <t>1. เรียก formatStatus()</t>
        </is>
      </c>
      <c r="F120" s="24" t="inlineStr">
        <is>
          <t>PENDING_REVIEW · STATUS_NOT_YET_SUPPORTED</t>
        </is>
      </c>
      <c r="G120" s="24" t="inlineStr">
        <is>
          <t>"รอตรวจสอบ" · "สถานะอื่น"</t>
        </is>
      </c>
      <c r="H120" s="24" t="inlineStr">
        <is>
          <t>ผลตรงตามที่คาดหวัง — assertion ผ่านครบ (0.00 วินาที)</t>
        </is>
      </c>
      <c r="I120" s="25" t="inlineStr">
        <is>
          <t>Pass</t>
        </is>
      </c>
      <c r="J120" s="24" t="n"/>
      <c r="K120" s="24" t="n"/>
      <c r="L120" s="24" t="inlineStr">
        <is>
          <t>Node.js 22.19 · Vitest 4.1.11 · Windows 11 (ไม่ใช้ฐานข้อมูล)</t>
        </is>
      </c>
      <c r="M120" s="24" t="inlineStr">
        <is>
          <t>Vitest 4.1.11 (อัตโนมัติ)</t>
        </is>
      </c>
      <c r="N120" s="26" t="n">
        <v>46324.78217229166</v>
      </c>
      <c r="O120" s="24" t="inlineStr">
        <is>
          <t>ผลรายเคสอยู่ในไฟล์ JSON ของ Vitest (evidence-api/)</t>
        </is>
      </c>
      <c r="P120" s="24" t="inlineStr">
        <is>
          <t>สคริปต์: lib/ui-labels.test.ts
ชื่อเทสต์: UI labels does not expose raw status enums</t>
        </is>
      </c>
    </row>
    <row r="121" ht="60" customHeight="1">
      <c r="A121" s="23" t="inlineStr">
        <is>
          <t>TC_UNIT_LABEL_002</t>
        </is>
      </c>
      <c r="B121" s="24" t="inlineStr">
        <is>
          <t>UI Labels</t>
        </is>
      </c>
      <c r="C121" s="24" t="inlineStr">
        <is>
          <t>ไม่มีสถานะให้แสดงขีด</t>
        </is>
      </c>
      <c r="D121" s="24" t="inlineStr">
        <is>
          <t>ไม่ต้องใช้ฐานข้อมูล · เรียกฟังก์ชันโดยตรงใน Vitest</t>
        </is>
      </c>
      <c r="E121" s="24" t="inlineStr">
        <is>
          <t>1. เรียก formatStatus() กับค่าว่าง</t>
        </is>
      </c>
      <c r="F121" s="24" t="inlineStr">
        <is>
          <t>"" · null · undefined</t>
        </is>
      </c>
      <c r="G121" s="24" t="inlineStr">
        <is>
          <t>ทุกกรณีได้ "-"</t>
        </is>
      </c>
      <c r="H121" s="24" t="inlineStr">
        <is>
          <t>ผลตรงตามที่คาดหวัง — assertion ผ่านครบ (0.00 วินาที)</t>
        </is>
      </c>
      <c r="I121" s="25" t="inlineStr">
        <is>
          <t>Pass</t>
        </is>
      </c>
      <c r="J121" s="24" t="n"/>
      <c r="K121" s="24" t="n"/>
      <c r="L121" s="24" t="inlineStr">
        <is>
          <t>Node.js 22.19 · Vitest 4.1.11 · Windows 11 (ไม่ใช้ฐานข้อมูล)</t>
        </is>
      </c>
      <c r="M121" s="24" t="inlineStr">
        <is>
          <t>Vitest 4.1.11 (อัตโนมัติ)</t>
        </is>
      </c>
      <c r="N121" s="26" t="n">
        <v>46324.78217233239</v>
      </c>
      <c r="O121" s="24" t="inlineStr">
        <is>
          <t>ผลรายเคสอยู่ในไฟล์ JSON ของ Vitest (evidence-api/)</t>
        </is>
      </c>
      <c r="P121" s="24" t="inlineStr">
        <is>
          <t>สคริปต์: lib/ui-labels.test.ts
ชื่อเทสต์: UI labels shows a dash when there is no status at all</t>
        </is>
      </c>
    </row>
    <row r="122" ht="60" customHeight="1">
      <c r="A122" s="23" t="inlineStr">
        <is>
          <t>TC_UNIT_LABEL_003</t>
        </is>
      </c>
      <c r="B122" s="24" t="inlineStr">
        <is>
          <t>UI Labels</t>
        </is>
      </c>
      <c r="C122" s="24" t="inlineStr">
        <is>
          <t>แปลชื่อเหตุการณ์ audit เป็นภาษาไทย ที่ไม่รู้จักแสดงแบบกลาง</t>
        </is>
      </c>
      <c r="D122" s="24" t="inlineStr">
        <is>
          <t>ไม่ต้องใช้ฐานข้อมูล · เรียกฟังก์ชันโดยตรงใน Vitest</t>
        </is>
      </c>
      <c r="E122" s="24" t="inlineStr">
        <is>
          <t>1. เรียก formatAuditAction()</t>
        </is>
      </c>
      <c r="F122" s="24" t="inlineStr">
        <is>
          <t>AUTH_LOGIN · STATUS_CHANGED · API_PATCH_FAILURE · API_POST_SUCCESS · API_GET_SUCCESS</t>
        </is>
      </c>
      <c r="G122" s="24" t="inlineStr">
        <is>
          <t>เข้าสู่ระบบ · เหตุการณ์ระบบ · ดำเนินการกับข้อมูลไม่สำเร็จ · ดำเนินการกับข้อมูลสำเร็จ · เหตุการณ์ระบบ</t>
        </is>
      </c>
      <c r="H122" s="24" t="inlineStr">
        <is>
          <t>ผลตรงตามที่คาดหวัง — assertion ผ่านครบ (0.00 วินาที)</t>
        </is>
      </c>
      <c r="I122" s="25" t="inlineStr">
        <is>
          <t>Pass</t>
        </is>
      </c>
      <c r="J122" s="24" t="n"/>
      <c r="K122" s="24" t="n"/>
      <c r="L122" s="24" t="inlineStr">
        <is>
          <t>Node.js 22.19 · Vitest 4.1.11 · Windows 11 (ไม่ใช้ฐานข้อมูล)</t>
        </is>
      </c>
      <c r="M122" s="24" t="inlineStr">
        <is>
          <t>Vitest 4.1.11 (อัตโนมัติ)</t>
        </is>
      </c>
      <c r="N122" s="26" t="n">
        <v>46324.78217233862</v>
      </c>
      <c r="O122" s="24" t="inlineStr">
        <is>
          <t>ผลรายเคสอยู่ในไฟล์ JSON ของ Vitest (evidence-api/)</t>
        </is>
      </c>
      <c r="P122" s="24" t="inlineStr">
        <is>
          <t>สคริปต์: lib/ui-labels.test.ts
ชื่อเทสต์: UI labels translates audit actions and keeps unknown actions generic</t>
        </is>
      </c>
    </row>
    <row r="123" ht="60" customHeight="1">
      <c r="A123" s="23" t="inlineStr">
        <is>
          <t>TC_UNIT_LABEL_004</t>
        </is>
      </c>
      <c r="B123" s="24" t="inlineStr">
        <is>
          <t>UI Labels</t>
        </is>
      </c>
      <c r="C123" s="24" t="inlineStr">
        <is>
          <t>แปลผล audit เป็นภาษาไทย</t>
        </is>
      </c>
      <c r="D123" s="24" t="inlineStr">
        <is>
          <t>ไม่ต้องใช้ฐานข้อมูล · เรียกฟังก์ชันโดยตรงใน Vitest</t>
        </is>
      </c>
      <c r="E123" s="24" t="inlineStr">
        <is>
          <t>1. เรียก formatAuditResult()</t>
        </is>
      </c>
      <c r="F123" s="24" t="inlineStr">
        <is>
          <t>SUCCESS · FAILURE</t>
        </is>
      </c>
      <c r="G123" s="24" t="inlineStr">
        <is>
          <t>"สำเร็จ" · "ไม่สำเร็จ"</t>
        </is>
      </c>
      <c r="H123" s="24" t="inlineStr">
        <is>
          <t>ผลตรงตามที่คาดหวัง — assertion ผ่านครบ (0.00 วินาที)</t>
        </is>
      </c>
      <c r="I123" s="25" t="inlineStr">
        <is>
          <t>Pass</t>
        </is>
      </c>
      <c r="J123" s="24" t="n"/>
      <c r="K123" s="24" t="n"/>
      <c r="L123" s="24" t="inlineStr">
        <is>
          <t>Node.js 22.19 · Vitest 4.1.11 · Windows 11 (ไม่ใช้ฐานข้อมูล)</t>
        </is>
      </c>
      <c r="M123" s="24" t="inlineStr">
        <is>
          <t>Vitest 4.1.11 (อัตโนมัติ)</t>
        </is>
      </c>
      <c r="N123" s="26" t="n">
        <v>46324.78217234583</v>
      </c>
      <c r="O123" s="24" t="inlineStr">
        <is>
          <t>ผลรายเคสอยู่ในไฟล์ JSON ของ Vitest (evidence-api/)</t>
        </is>
      </c>
      <c r="P123" s="24" t="inlineStr">
        <is>
          <t>สคริปต์: lib/ui-labels.test.ts
ชื่อเทสต์: UI labels translates audit results</t>
        </is>
      </c>
    </row>
    <row r="124" ht="60" customHeight="1">
      <c r="A124" s="23" t="inlineStr">
        <is>
          <t>TC_UNIT_LABEL_005</t>
        </is>
      </c>
      <c r="B124" s="24" t="inlineStr">
        <is>
          <t>UI Labels</t>
        </is>
      </c>
      <c r="C124" s="24" t="inlineStr">
        <is>
          <t>ชนิดรถไม่รู้จักหรือว่างแสดงข้อความที่อ่านได้</t>
        </is>
      </c>
      <c r="D124" s="24" t="inlineStr">
        <is>
          <t>ไม่ต้องใช้ฐานข้อมูล · เรียกฟังก์ชันโดยตรงใน Vitest</t>
        </is>
      </c>
      <c r="E124" s="24" t="inlineStr">
        <is>
          <t>1. เรียก formatVehicleType()</t>
        </is>
      </c>
      <c r="F124" s="24" t="inlineStr">
        <is>
          <t>CAR · OTHER · null · undefined · "" · HELICOPTER</t>
        </is>
      </c>
      <c r="G124" s="24" t="inlineStr">
        <is>
          <t>รถยนต์ · อื่น ๆ · ไม่มีรถ (กรณีที่เหลือ)</t>
        </is>
      </c>
      <c r="H124" s="24" t="inlineStr">
        <is>
          <t>ผลตรงตามที่คาดหวัง — assertion ผ่านครบ (0.00 วินาที)</t>
        </is>
      </c>
      <c r="I124" s="25" t="inlineStr">
        <is>
          <t>Pass</t>
        </is>
      </c>
      <c r="J124" s="24" t="n"/>
      <c r="K124" s="24" t="n"/>
      <c r="L124" s="24" t="inlineStr">
        <is>
          <t>Node.js 22.19 · Vitest 4.1.11 · Windows 11 (ไม่ใช้ฐานข้อมูล)</t>
        </is>
      </c>
      <c r="M124" s="24" t="inlineStr">
        <is>
          <t>Vitest 4.1.11 (อัตโนมัติ)</t>
        </is>
      </c>
      <c r="N124" s="26" t="n">
        <v>46324.78217234861</v>
      </c>
      <c r="O124" s="24" t="inlineStr">
        <is>
          <t>ผลรายเคสอยู่ในไฟล์ JSON ของ Vitest (evidence-api/)</t>
        </is>
      </c>
      <c r="P124" s="24" t="inlineStr">
        <is>
          <t>สคริปต์: lib/ui-labels.test.ts
ชื่อเทสต์: UI labels falls back to a readable label for missing or unknown vehicle types</t>
        </is>
      </c>
    </row>
    <row r="125" ht="60" customHeight="1">
      <c r="A125" s="23" t="inlineStr">
        <is>
          <t>TC_UNIT_LABEL_006</t>
        </is>
      </c>
      <c r="B125" s="24" t="inlineStr">
        <is>
          <t>UI Labels</t>
        </is>
      </c>
      <c r="C125" s="24" t="inlineStr">
        <is>
          <t>ประเภทห้องที่ไม่รู้จักยังแสดงค่าเดิม ไม่ปล่อยว่าง</t>
        </is>
      </c>
      <c r="D125" s="24" t="inlineStr">
        <is>
          <t>ไม่ต้องใช้ฐานข้อมูล · เรียกฟังก์ชันโดยตรงใน Vitest</t>
        </is>
      </c>
      <c r="E125" s="24" t="inlineStr">
        <is>
          <t>1. เรียก roomTypeLabel()</t>
        </is>
      </c>
      <c r="F125" s="24" t="inlineStr">
        <is>
          <t>air · fan · studio</t>
        </is>
      </c>
      <c r="G125" s="24" t="inlineStr">
        <is>
          <t>ห้องแอร์ · ห้องพัดลม · studio</t>
        </is>
      </c>
      <c r="H125" s="24" t="inlineStr">
        <is>
          <t>ผลตรงตามที่คาดหวัง — assertion ผ่านครบ (0.00 วินาที)</t>
        </is>
      </c>
      <c r="I125" s="25" t="inlineStr">
        <is>
          <t>Pass</t>
        </is>
      </c>
      <c r="J125" s="24" t="n"/>
      <c r="K125" s="24" t="n"/>
      <c r="L125" s="24" t="inlineStr">
        <is>
          <t>Node.js 22.19 · Vitest 4.1.11 · Windows 11 (ไม่ใช้ฐานข้อมูล)</t>
        </is>
      </c>
      <c r="M125" s="24" t="inlineStr">
        <is>
          <t>Vitest 4.1.11 (อัตโนมัติ)</t>
        </is>
      </c>
      <c r="N125" s="26" t="n">
        <v>46324.78217235243</v>
      </c>
      <c r="O125" s="24" t="inlineStr">
        <is>
          <t>ผลรายเคสอยู่ในไฟล์ JSON ของ Vitest (evidence-api/)</t>
        </is>
      </c>
      <c r="P125" s="24" t="inlineStr">
        <is>
          <t>สคริปต์: lib/ui-labels.test.ts
ชื่อเทสต์: UI labels keeps unknown room types visible instead of blanking them</t>
        </is>
      </c>
    </row>
    <row r="126" ht="60" customHeight="1">
      <c r="A126" s="23" t="inlineStr">
        <is>
          <t>TC_INT_RESP_001</t>
        </is>
      </c>
      <c r="B126" s="24" t="inlineStr">
        <is>
          <t>API Response &amp; Audit</t>
        </is>
      </c>
      <c r="C126" s="24" t="inlineStr">
        <is>
          <t>ใช้ request ID เดิมที่ proxy ส่งมา</t>
        </is>
      </c>
      <c r="D126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26" s="24" t="inlineStr">
        <is>
          <t>1. สร้างคำขอ GET ที่มี header x-request-id
2. เรียก apiSuccessResponse()</t>
        </is>
      </c>
      <c r="F126" s="24" t="inlineStr">
        <is>
          <t>x-request-id = req-from-proxy</t>
        </is>
      </c>
      <c r="G126" s="24" t="inlineStr">
        <is>
          <t>header และ body มี requestId = req-from-proxy</t>
        </is>
      </c>
      <c r="H126" s="24" t="inlineStr">
        <is>
          <t>ผลตรงตามที่คาดหวัง — assertion ผ่านครบ (0.01 วินาที)</t>
        </is>
      </c>
      <c r="I126" s="25" t="inlineStr">
        <is>
          <t>Pass</t>
        </is>
      </c>
      <c r="J126" s="24" t="n"/>
      <c r="K126" s="24" t="n"/>
      <c r="L126" s="24" t="inlineStr">
        <is>
          <t>DEV (localhost) · PostgreSQL 17.10 ใน Docker (ฐาน nestly_test) · Node.js 22.19 · Windows 11</t>
        </is>
      </c>
      <c r="M126" s="24" t="inlineStr">
        <is>
          <t>Vitest 4.1.11 (อัตโนมัติ)</t>
        </is>
      </c>
      <c r="N126" s="26" t="n">
        <v>46324.7825928125</v>
      </c>
      <c r="O126" s="24" t="inlineStr">
        <is>
          <t>ผลรายเคสอยู่ในไฟล์ JSON ของ Vitest (evidence-api/)</t>
        </is>
      </c>
      <c r="P126" s="24" t="inlineStr">
        <is>
          <t>สคริปต์: tests/integration/api-responses.test.ts
ชื่อเทสต์: central API responses reuses the request id the proxy sent</t>
        </is>
      </c>
    </row>
    <row r="127" ht="60" customHeight="1">
      <c r="A127" s="23" t="inlineStr">
        <is>
          <t>TC_INT_RESP_002</t>
        </is>
      </c>
      <c r="B127" s="24" t="inlineStr">
        <is>
          <t>API Response &amp; Audit</t>
        </is>
      </c>
      <c r="C127" s="24" t="inlineStr">
        <is>
          <t>สร้าง request ID ใหม่เมื่อไม่มีมากับคำขอ</t>
        </is>
      </c>
      <c r="D12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27" s="24" t="inlineStr">
        <is>
          <t>1. สร้างคำขอ GET ไม่มี x-request-id
2. เรียก apiSuccessResponse()</t>
        </is>
      </c>
      <c r="F127" s="24" t="inlineStr">
        <is>
          <t>ไม่มี x-request-id</t>
        </is>
      </c>
      <c r="G127" s="24" t="inlineStr">
        <is>
          <t>คำตอบมี header x-request-id</t>
        </is>
      </c>
      <c r="H127" s="24" t="inlineStr">
        <is>
          <t>ผลตรงตามที่คาดหวัง — assertion ผ่านครบ (0.00 วินาที)</t>
        </is>
      </c>
      <c r="I127" s="25" t="inlineStr">
        <is>
          <t>Pass</t>
        </is>
      </c>
      <c r="J127" s="24" t="n"/>
      <c r="K127" s="24" t="n"/>
      <c r="L127" s="24" t="inlineStr">
        <is>
          <t>DEV (localhost) · PostgreSQL 17.10 ใน Docker (ฐาน nestly_test) · Node.js 22.19 · Windows 11</t>
        </is>
      </c>
      <c r="M127" s="24" t="inlineStr">
        <is>
          <t>Vitest 4.1.11 (อัตโนมัติ)</t>
        </is>
      </c>
      <c r="N127" s="26" t="n">
        <v>46324.78259294066</v>
      </c>
      <c r="O127" s="24" t="inlineStr">
        <is>
          <t>ผลรายเคสอยู่ในไฟล์ JSON ของ Vitest (evidence-api/)</t>
        </is>
      </c>
      <c r="P127" s="24" t="inlineStr">
        <is>
          <t>สคริปต์: tests/integration/api-responses.test.ts
ชื่อเทสต์: central API responses makes up a request id when the proxy did not send one</t>
        </is>
      </c>
    </row>
    <row r="128" ht="60" customHeight="1">
      <c r="A128" s="23" t="inlineStr">
        <is>
          <t>TC_INT_RESP_003</t>
        </is>
      </c>
      <c r="B128" s="24" t="inlineStr">
        <is>
          <t>API Response &amp; Audit</t>
        </is>
      </c>
      <c r="C128" s="24" t="inlineStr">
        <is>
          <t>คำตอบไฟล์ (PDF) คง header เดิมและเติม request ID</t>
        </is>
      </c>
      <c r="D12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28" s="24" t="inlineStr">
        <is>
          <t>1. เรียก apiSuccessBinaryResponse() ด้วยไฟล์ PDF</t>
        </is>
      </c>
      <c r="F128" s="24" t="inlineStr">
        <is>
          <t>Content-Type = application/pdf · Content-Disposition = inline; filename=x.pdf</t>
        </is>
      </c>
      <c r="G128" s="24" t="inlineStr">
        <is>
          <t>header ครบ มี x-request-id = binary-req และเนื้อหาขึ้นต้นด้วย %PDF-</t>
        </is>
      </c>
      <c r="H128" s="24" t="inlineStr">
        <is>
          <t>ผลตรงตามที่คาดหวัง — assertion ผ่านครบ (0.00 วินาที)</t>
        </is>
      </c>
      <c r="I128" s="25" t="inlineStr">
        <is>
          <t>Pass</t>
        </is>
      </c>
      <c r="J128" s="24" t="n"/>
      <c r="K128" s="24" t="n"/>
      <c r="L128" s="24" t="inlineStr">
        <is>
          <t>DEV (localhost) · PostgreSQL 17.10 ใน Docker (ฐาน nestly_test) · Node.js 22.19 · Windows 11</t>
        </is>
      </c>
      <c r="M128" s="24" t="inlineStr">
        <is>
          <t>Vitest 4.1.11 (อัตโนมัติ)</t>
        </is>
      </c>
      <c r="N128" s="26" t="n">
        <v>46324.7825929556</v>
      </c>
      <c r="O128" s="24" t="inlineStr">
        <is>
          <t>ผลรายเคสอยู่ในไฟล์ JSON ของ Vitest (evidence-api/)</t>
        </is>
      </c>
      <c r="P128" s="24" t="inlineStr">
        <is>
          <t>สคริปต์: tests/integration/api-responses.test.ts
ชื่อเทสต์: central API responses keeps the given headers on a binary response and still adds the request id</t>
        </is>
      </c>
    </row>
    <row r="129" ht="60" customHeight="1">
      <c r="A129" s="23" t="inlineStr">
        <is>
          <t>TC_INT_RESP_004</t>
        </is>
      </c>
      <c r="B129" s="24" t="inlineStr">
        <is>
          <t>API Response &amp; Audit</t>
        </is>
      </c>
      <c r="C129" s="24" t="inlineStr">
        <is>
          <t>การอ่านข้อมูล (GET) ไม่บันทึก audit log</t>
        </is>
      </c>
      <c r="D12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29" s="24" t="inlineStr">
        <is>
          <t>1. ตอบคำขอ GET
2. นับแถวใน AuditLog</t>
        </is>
      </c>
      <c r="F129" s="24" t="inlineStr">
        <is>
          <t>action = READ_ONLY_CHECK</t>
        </is>
      </c>
      <c r="G129" s="24" t="inlineStr">
        <is>
          <t>จำนวน audit log ใหม่ = 0</t>
        </is>
      </c>
      <c r="H129" s="24" t="inlineStr">
        <is>
          <t>ผลตรงตามที่คาดหวัง — assertion ผ่านครบ (0.08 วินาที)</t>
        </is>
      </c>
      <c r="I129" s="25" t="inlineStr">
        <is>
          <t>Pass</t>
        </is>
      </c>
      <c r="J129" s="24" t="n"/>
      <c r="K129" s="24" t="n"/>
      <c r="L129" s="24" t="inlineStr">
        <is>
          <t>DEV (localhost) · PostgreSQL 17.10 ใน Docker (ฐาน nestly_test) · Node.js 22.19 · Windows 11</t>
        </is>
      </c>
      <c r="M129" s="24" t="inlineStr">
        <is>
          <t>Vitest 4.1.11 (อัตโนมัติ)</t>
        </is>
      </c>
      <c r="N129" s="26" t="n">
        <v>46324.78259297337</v>
      </c>
      <c r="O129" s="24" t="inlineStr">
        <is>
          <t>ผลรายเคสอยู่ในไฟล์ JSON ของ Vitest (evidence-api/)</t>
        </is>
      </c>
      <c r="P129" s="24" t="inlineStr">
        <is>
          <t>สคริปต์: tests/integration/api-responses.test.ts
ชื่อเทสต์: central API responses writes no audit record for a read</t>
        </is>
      </c>
    </row>
    <row r="130" ht="60" customHeight="1">
      <c r="A130" s="23" t="inlineStr">
        <is>
          <t>TC_INT_RESP_005</t>
        </is>
      </c>
      <c r="B130" s="24" t="inlineStr">
        <is>
          <t>API Response &amp; Audit</t>
        </is>
      </c>
      <c r="C130" s="24" t="inlineStr">
        <is>
          <t>การแก้ไขข้อมูล (POST/DELETE) บันทึก audit log</t>
        </is>
      </c>
      <c r="D130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0" s="24" t="inlineStr">
        <is>
          <t>1. ตอบคำขอ POST และ DELETE
2. อ่าน AuditLog</t>
        </is>
      </c>
      <c r="F130" s="24" t="inlineStr">
        <is>
          <t>path = /api/v1/admin/properties/p1/documents</t>
        </is>
      </c>
      <c r="G130" s="24" t="inlineStr">
        <is>
          <t>มีแถว API_POST_SUCCESS และ API_DELETE_SUCCESS ผล SUCCESS</t>
        </is>
      </c>
      <c r="H130" s="24" t="inlineStr">
        <is>
          <t>ผลตรงตามที่คาดหวัง — assertion ผ่านครบ (0.11 วินาที)</t>
        </is>
      </c>
      <c r="I130" s="25" t="inlineStr">
        <is>
          <t>Pass</t>
        </is>
      </c>
      <c r="J130" s="24" t="n"/>
      <c r="K130" s="24" t="n"/>
      <c r="L130" s="24" t="inlineStr">
        <is>
          <t>DEV (localhost) · PostgreSQL 17.10 ใน Docker (ฐาน nestly_test) · Node.js 22.19 · Windows 11</t>
        </is>
      </c>
      <c r="M130" s="24" t="inlineStr">
        <is>
          <t>Vitest 4.1.11 (อัตโนมัติ)</t>
        </is>
      </c>
      <c r="N130" s="26" t="n">
        <v>46324.78259390336</v>
      </c>
      <c r="O130" s="24" t="inlineStr">
        <is>
          <t>ผลรายเคสอยู่ในไฟล์ JSON ของ Vitest (evidence-api/)</t>
        </is>
      </c>
      <c r="P130" s="24" t="inlineStr">
        <is>
          <t>สคริปต์: tests/integration/api-responses.test.ts
ชื่อเทสต์: central API responses writes an audit record for a change, from both response kinds</t>
        </is>
      </c>
    </row>
    <row r="131" ht="60" customHeight="1">
      <c r="A131" s="23" t="inlineStr">
        <is>
          <t>TC_INT_CSRF_001</t>
        </is>
      </c>
      <c r="B131" s="24" t="inlineStr">
        <is>
          <t>CSRF Protection</t>
        </is>
      </c>
      <c r="C131" s="24" t="inlineStr">
        <is>
          <t>รับคำขอจากหน้าเว็บของระบบเองที่ส่ง JSON</t>
        </is>
      </c>
      <c r="D13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1" s="24" t="inlineStr">
        <is>
          <t>1. เรียก assertSameOrigin() ด้วย origin ตรงกับ host</t>
        </is>
      </c>
      <c r="F131" s="24" t="inlineStr">
        <is>
          <t>origin = http://localhost · content-type = application/json</t>
        </is>
      </c>
      <c r="G131" s="24" t="inlineStr">
        <is>
          <t>ผ่าน ไม่เกิด error</t>
        </is>
      </c>
      <c r="H131" s="24" t="inlineStr">
        <is>
          <t>ผลตรงตามที่คาดหวัง — assertion ผ่านครบ (0.00 วินาที)</t>
        </is>
      </c>
      <c r="I131" s="25" t="inlineStr">
        <is>
          <t>Pass</t>
        </is>
      </c>
      <c r="J131" s="24" t="n"/>
      <c r="K131" s="24" t="n"/>
      <c r="L131" s="24" t="inlineStr">
        <is>
          <t>DEV (localhost) · PostgreSQL 17.10 ใน Docker (ฐาน nestly_test) · Node.js 22.19 · Windows 11</t>
        </is>
      </c>
      <c r="M131" s="24" t="inlineStr">
        <is>
          <t>Vitest 4.1.11 (อัตโนมัติ)</t>
        </is>
      </c>
      <c r="N131" s="26" t="n">
        <v>46324.78259519237</v>
      </c>
      <c r="O131" s="24" t="inlineStr">
        <is>
          <t>ผลรายเคสอยู่ในไฟล์ JSON ของ Vitest (evidence-api/)</t>
        </is>
      </c>
      <c r="P131" s="24" t="inlineStr">
        <is>
          <t>สคริปต์: tests/integration/api-responses.test.ts
ชื่อเทสต์: same origin guard accepts a request from our own page with JSON</t>
        </is>
      </c>
    </row>
    <row r="132" ht="60" customHeight="1">
      <c r="A132" s="23" t="inlineStr">
        <is>
          <t>TC_INT_CSRF_002</t>
        </is>
      </c>
      <c r="B132" s="24" t="inlineStr">
        <is>
          <t>CSRF Protection</t>
        </is>
      </c>
      <c r="C132" s="24" t="inlineStr">
        <is>
          <t>ปฏิเสธคำขอแก้ไขข้อมูลที่ไม่มี Origin</t>
        </is>
      </c>
      <c r="D132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2" s="24" t="inlineStr">
        <is>
          <t>1. เรียก assertSameOrigin() โดยไม่มี origin</t>
        </is>
      </c>
      <c r="F132" s="24" t="inlineStr">
        <is>
          <t>host = localhost</t>
        </is>
      </c>
      <c r="G132" s="24" t="inlineStr">
        <is>
          <t>ถูกปฏิเสธ (ApiError)</t>
        </is>
      </c>
      <c r="H132" s="24" t="inlineStr">
        <is>
          <t>ผลตรงตามที่คาดหวัง — assertion ผ่านครบ (0.00 วินาที)</t>
        </is>
      </c>
      <c r="I132" s="25" t="inlineStr">
        <is>
          <t>Pass</t>
        </is>
      </c>
      <c r="J132" s="24" t="n"/>
      <c r="K132" s="24" t="n"/>
      <c r="L132" s="24" t="inlineStr">
        <is>
          <t>DEV (localhost) · PostgreSQL 17.10 ใน Docker (ฐาน nestly_test) · Node.js 22.19 · Windows 11</t>
        </is>
      </c>
      <c r="M132" s="24" t="inlineStr">
        <is>
          <t>Vitest 4.1.11 (อัตโนมัติ)</t>
        </is>
      </c>
      <c r="N132" s="26" t="n">
        <v>46324.78259521354</v>
      </c>
      <c r="O132" s="24" t="inlineStr">
        <is>
          <t>ผลรายเคสอยู่ในไฟล์ JSON ของ Vitest (evidence-api/)</t>
        </is>
      </c>
      <c r="P132" s="24" t="inlineStr">
        <is>
          <t>สคริปต์: tests/integration/api-responses.test.ts
ชื่อเทสต์: same origin guard refuses a request with no origin at all</t>
        </is>
      </c>
    </row>
    <row r="133" ht="60" customHeight="1">
      <c r="A133" s="23" t="inlineStr">
        <is>
          <t>TC_INT_CSRF_003</t>
        </is>
      </c>
      <c r="B133" s="24" t="inlineStr">
        <is>
          <t>CSRF Protection</t>
        </is>
      </c>
      <c r="C133" s="24" t="inlineStr">
        <is>
          <t>ปฏิเสธคำขอจากเว็บอื่น</t>
        </is>
      </c>
      <c r="D133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3" s="24" t="inlineStr">
        <is>
          <t>1. เรียก assertSameOrigin() ด้วย origin ภายนอก</t>
        </is>
      </c>
      <c r="F133" s="24" t="inlineStr">
        <is>
          <t>origin = http://evil.test</t>
        </is>
      </c>
      <c r="G133" s="24" t="inlineStr">
        <is>
          <t>ถูกปฏิเสธ (ApiError)</t>
        </is>
      </c>
      <c r="H133" s="24" t="inlineStr">
        <is>
          <t>ผลตรงตามที่คาดหวัง — assertion ผ่านครบ (0.00 วินาที)</t>
        </is>
      </c>
      <c r="I133" s="25" t="inlineStr">
        <is>
          <t>Pass</t>
        </is>
      </c>
      <c r="J133" s="24" t="n"/>
      <c r="K133" s="24" t="n"/>
      <c r="L133" s="24" t="inlineStr">
        <is>
          <t>DEV (localhost) · PostgreSQL 17.10 ใน Docker (ฐาน nestly_test) · Node.js 22.19 · Windows 11</t>
        </is>
      </c>
      <c r="M133" s="24" t="inlineStr">
        <is>
          <t>Vitest 4.1.11 (อัตโนมัติ)</t>
        </is>
      </c>
      <c r="N133" s="26" t="n">
        <v>46324.78259521939</v>
      </c>
      <c r="O133" s="24" t="inlineStr">
        <is>
          <t>ผลรายเคสอยู่ในไฟล์ JSON ของ Vitest (evidence-api/)</t>
        </is>
      </c>
      <c r="P133" s="24" t="inlineStr">
        <is>
          <t>สคริปต์: tests/integration/api-responses.test.ts
ชื่อเทสต์: same origin guard refuses a request from another site</t>
        </is>
      </c>
    </row>
    <row r="134" ht="60" customHeight="1">
      <c r="A134" s="23" t="inlineStr">
        <is>
          <t>TC_INT_CSRF_004</t>
        </is>
      </c>
      <c r="B134" s="24" t="inlineStr">
        <is>
          <t>CSRF Protection</t>
        </is>
      </c>
      <c r="C134" s="24" t="inlineStr">
        <is>
          <t>Origin ผิดรูปแบบต้องถูกปฏิเสธโดยระบบไม่ล่ม</t>
        </is>
      </c>
      <c r="D134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4" s="24" t="inlineStr">
        <is>
          <t>1. เรียก assertSameOrigin() ด้วย origin ที่ไม่ใช่ URL</t>
        </is>
      </c>
      <c r="F134" s="24" t="inlineStr">
        <is>
          <t>origin = "not a url"</t>
        </is>
      </c>
      <c r="G134" s="24" t="inlineStr">
        <is>
          <t>ถูกปฏิเสธ (ApiError) ไม่เกิด exception อื่น</t>
        </is>
      </c>
      <c r="H134" s="24" t="inlineStr">
        <is>
          <t>ผลตรงตามที่คาดหวัง — assertion ผ่านครบ (0.00 วินาที)</t>
        </is>
      </c>
      <c r="I134" s="25" t="inlineStr">
        <is>
          <t>Pass</t>
        </is>
      </c>
      <c r="J134" s="24" t="n"/>
      <c r="K134" s="24" t="n"/>
      <c r="L134" s="24" t="inlineStr">
        <is>
          <t>DEV (localhost) · PostgreSQL 17.10 ใน Docker (ฐาน nestly_test) · Node.js 22.19 · Windows 11</t>
        </is>
      </c>
      <c r="M134" s="24" t="inlineStr">
        <is>
          <t>Vitest 4.1.11 (อัตโนมัติ)</t>
        </is>
      </c>
      <c r="N134" s="26" t="n">
        <v>46324.78259522889</v>
      </c>
      <c r="O134" s="24" t="inlineStr">
        <is>
          <t>ผลรายเคสอยู่ในไฟล์ JSON ของ Vitest (evidence-api/)</t>
        </is>
      </c>
      <c r="P134" s="24" t="inlineStr">
        <is>
          <t>สคริปต์: tests/integration/api-responses.test.ts
ชื่อเทสต์: same origin guard refuses a malformed origin without blowing up</t>
        </is>
      </c>
    </row>
    <row r="135" ht="60" customHeight="1">
      <c r="A135" s="23" t="inlineStr">
        <is>
          <t>TC_INT_CSRF_005</t>
        </is>
      </c>
      <c r="B135" s="24" t="inlineStr">
        <is>
          <t>CSRF Protection</t>
        </is>
      </c>
      <c r="C135" s="24" t="inlineStr">
        <is>
          <t>Origin ถูกแต่ส่งแบบฟอร์ม (ไม่ใช่ JSON) ต้องถูกปฏิเสธ</t>
        </is>
      </c>
      <c r="D135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5" s="24" t="inlineStr">
        <is>
          <t>1. เรียก assertSameOrigin() ด้วย content-type แบบฟอร์ม</t>
        </is>
      </c>
      <c r="F135" s="24" t="inlineStr">
        <is>
          <t>content-type = application/x-www-form-urlencoded</t>
        </is>
      </c>
      <c r="G135" s="24" t="inlineStr">
        <is>
          <t>ถูกปฏิเสธด้วย HTTP 415</t>
        </is>
      </c>
      <c r="H135" s="24" t="inlineStr">
        <is>
          <t>ผลตรงตามที่คาดหวัง — assertion ผ่านครบ (0.00 วินาที)</t>
        </is>
      </c>
      <c r="I135" s="25" t="inlineStr">
        <is>
          <t>Pass</t>
        </is>
      </c>
      <c r="J135" s="24" t="n"/>
      <c r="K135" s="24" t="n"/>
      <c r="L135" s="24" t="inlineStr">
        <is>
          <t>DEV (localhost) · PostgreSQL 17.10 ใน Docker (ฐาน nestly_test) · Node.js 22.19 · Windows 11</t>
        </is>
      </c>
      <c r="M135" s="24" t="inlineStr">
        <is>
          <t>Vitest 4.1.11 (อัตโนมัติ)</t>
        </is>
      </c>
      <c r="N135" s="26" t="n">
        <v>46324.78259523862</v>
      </c>
      <c r="O135" s="24" t="inlineStr">
        <is>
          <t>ผลรายเคสอยู่ในไฟล์ JSON ของ Vitest (evidence-api/)</t>
        </is>
      </c>
      <c r="P135" s="24" t="inlineStr">
        <is>
          <t>สคริปต์: tests/integration/api-responses.test.ts
ชื่อเทสต์: same origin guard refuses the right origin with the wrong content type</t>
        </is>
      </c>
    </row>
    <row r="136" ht="60" customHeight="1">
      <c r="A136" s="23" t="inlineStr">
        <is>
          <t>TC_INT_ERR_001</t>
        </is>
      </c>
      <c r="B136" s="24" t="inlineStr">
        <is>
          <t>Error Handling</t>
        </is>
      </c>
      <c r="C136" s="24" t="inlineStr">
        <is>
          <t>error ภายในไม่เผยรายละเอียดให้ผู้ใช้ แต่คง request ID</t>
        </is>
      </c>
      <c r="D136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6" s="24" t="inlineStr">
        <is>
          <t>1. เรียก apiErrorResponse() กับ error การเชื่อมต่อฐานข้อมูล</t>
        </is>
      </c>
      <c r="F136" s="24" t="inlineStr">
        <is>
          <t>Error: connect ECONNREFUSED 127.0.0.1:5432</t>
        </is>
      </c>
      <c r="G136" s="24" t="inlineStr">
        <is>
          <t>HTTP 500 · ข้อความ "ไม่สามารถดำเนินการได้" ไม่มีคำว่า ECONNREFUSED · มี x-request-id</t>
        </is>
      </c>
      <c r="H136" s="24" t="inlineStr">
        <is>
          <t>ผลตรงตามที่คาดหวัง — assertion ผ่านครบ (0.00 วินาที)</t>
        </is>
      </c>
      <c r="I136" s="25" t="inlineStr">
        <is>
          <t>Pass</t>
        </is>
      </c>
      <c r="J136" s="24" t="n"/>
      <c r="K136" s="24" t="n"/>
      <c r="L136" s="24" t="inlineStr">
        <is>
          <t>DEV (localhost) · PostgreSQL 17.10 ใน Docker (ฐาน nestly_test) · Node.js 22.19 · Windows 11</t>
        </is>
      </c>
      <c r="M136" s="24" t="inlineStr">
        <is>
          <t>Vitest 4.1.11 (อัตโนมัติ)</t>
        </is>
      </c>
      <c r="N136" s="26" t="n">
        <v>46324.78259524714</v>
      </c>
      <c r="O136" s="24" t="inlineStr">
        <is>
          <t>ผลรายเคสอยู่ในไฟล์ JSON ของ Vitest (evidence-api/)</t>
        </is>
      </c>
      <c r="P136" s="24" t="inlineStr">
        <is>
          <t>สคริปต์: tests/integration/api-responses.test.ts
ชื่อเทสต์: error responses hides the detail of an unexpected failure but keeps the request id</t>
        </is>
      </c>
    </row>
    <row r="137" ht="60" customHeight="1">
      <c r="A137" s="23" t="inlineStr">
        <is>
          <t>TC_INT_ERR_002</t>
        </is>
      </c>
      <c r="B137" s="24" t="inlineStr">
        <is>
          <t>Error Handling</t>
        </is>
      </c>
      <c r="C137" s="24" t="inlineStr">
        <is>
          <t>error ที่ระบบตั้งใจโยนแสดงข้อความตามจริง</t>
        </is>
      </c>
      <c r="D13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7" s="24" t="inlineStr">
        <is>
          <t>1. เรียก apiErrorResponse() กับ ApiError 409</t>
        </is>
      </c>
      <c r="F137" s="24" t="inlineStr">
        <is>
          <t>"ห้องนี้มีสัญญาที่ใช้งานอยู่"</t>
        </is>
      </c>
      <c r="G137" s="24" t="inlineStr">
        <is>
          <t>HTTP 409 และข้อความเดิม</t>
        </is>
      </c>
      <c r="H137" s="24" t="inlineStr">
        <is>
          <t>ผลตรงตามที่คาดหวัง — assertion ผ่านครบ (0.00 วินาที)</t>
        </is>
      </c>
      <c r="I137" s="25" t="inlineStr">
        <is>
          <t>Pass</t>
        </is>
      </c>
      <c r="J137" s="24" t="n"/>
      <c r="K137" s="24" t="n"/>
      <c r="L137" s="24" t="inlineStr">
        <is>
          <t>DEV (localhost) · PostgreSQL 17.10 ใน Docker (ฐาน nestly_test) · Node.js 22.19 · Windows 11</t>
        </is>
      </c>
      <c r="M137" s="24" t="inlineStr">
        <is>
          <t>Vitest 4.1.11 (อัตโนมัติ)</t>
        </is>
      </c>
      <c r="N137" s="26" t="n">
        <v>46324.7825953022</v>
      </c>
      <c r="O137" s="24" t="inlineStr">
        <is>
          <t>ผลรายเคสอยู่ในไฟล์ JSON ของ Vitest (evidence-api/)</t>
        </is>
      </c>
      <c r="P137" s="24" t="inlineStr">
        <is>
          <t>สคริปต์: tests/integration/api-responses.test.ts
ชื่อเทสต์: error responses passes through the message of an error we raised ourselves</t>
        </is>
      </c>
    </row>
    <row r="138" ht="60" customHeight="1">
      <c r="A138" s="23" t="inlineStr">
        <is>
          <t>TC_INT_AUTH_001</t>
        </is>
      </c>
      <c r="B138" s="24" t="inlineStr">
        <is>
          <t>Authentication</t>
        </is>
      </c>
      <c r="C138" s="24" t="inlineStr">
        <is>
          <t>เจ้าของหอที่รออนุมัติเข้าระบบไม่ได้จนกว่า Super Admin อนุมัติ</t>
        </is>
      </c>
      <c r="D13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8" s="24" t="inlineStr">
        <is>
          <t>1. สร้างบัญชี PENDING แล้วสร้าง session
2. อนุมัติโดย Super Admin
3. สร้าง session ใหม่
4. ลองปฏิเสธบัญชีที่อนุมัติแล้ว</t>
        </is>
      </c>
      <c r="F138" s="24" t="inlineStr">
        <is>
          <t>approvalStatus = PENDING → APPROVED</t>
        </is>
      </c>
      <c r="G138" s="24" t="inlineStr">
        <is>
          <t>ก่อนอนุมัติ session ใช้ไม่ได้ · หลังอนุมัติใช้ได้ บทบาท PROPERTY_ADMIN · ปฏิเสธซ้ำได้ 409</t>
        </is>
      </c>
      <c r="H138" s="24" t="inlineStr">
        <is>
          <t>ผลตรงตามที่คาดหวัง — assertion ผ่านครบ (0.10 วินาที)</t>
        </is>
      </c>
      <c r="I138" s="25" t="inlineStr">
        <is>
          <t>Pass</t>
        </is>
      </c>
      <c r="J138" s="24" t="n"/>
      <c r="K138" s="24" t="n"/>
      <c r="L138" s="24" t="inlineStr">
        <is>
          <t>DEV (localhost) · PostgreSQL 17.10 ใน Docker (ฐาน nestly_test) · Node.js 22.19 · Windows 11</t>
        </is>
      </c>
      <c r="M138" s="24" t="inlineStr">
        <is>
          <t>Vitest 4.1.11 (อัตโนมัติ)</t>
        </is>
      </c>
      <c r="N138" s="26" t="n">
        <v>46324.78256195602</v>
      </c>
      <c r="O138" s="24" t="inlineStr">
        <is>
          <t>ผลรายเคสอยู่ในไฟล์ JSON ของ Vitest (evidence-api/)</t>
        </is>
      </c>
      <c r="P138" s="24" t="inlineStr">
        <is>
          <t>สคริปต์: tests/integration/auth-ownership.test.ts
ชื่อเทสต์: authentication integration blocks a pending owner until Super Admin approves the account</t>
        </is>
      </c>
    </row>
    <row r="139" ht="60" customHeight="1">
      <c r="A139" s="23" t="inlineStr">
        <is>
          <t>TC_INT_AUTH_002</t>
        </is>
      </c>
      <c r="B139" s="24" t="inlineStr">
        <is>
          <t>Authentication</t>
        </is>
      </c>
      <c r="C139" s="24" t="inlineStr">
        <is>
          <t>เข้าสู่ระบบผ่าน route จริง ได้ cookie ปลอดภัย และ logout แล้วเพิกถอน session</t>
        </is>
      </c>
      <c r="D13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39" s="24" t="inlineStr">
        <is>
          <t>1. POST /api/auth/login
2. ตรวจ cookie
3. POST /api/auth/logout
4. ใช้ cookie เดิมอีกครั้ง</t>
        </is>
      </c>
      <c r="F139" s="24" t="inlineStr">
        <is>
          <t>email = owner-…@example.test · password = Integration-Password-123</t>
        </is>
      </c>
      <c r="G139" s="24" t="inlineStr">
        <is>
          <t>login 200 redirectTo /admin · cookie HttpOnly + SameSite=Lax · logout 200 · cookie เดิมใช้ไม่ได้</t>
        </is>
      </c>
      <c r="H139" s="24" t="inlineStr">
        <is>
          <t>ผลตรงตามที่คาดหวัง — assertion ผ่านครบ (0.11 วินาที)</t>
        </is>
      </c>
      <c r="I139" s="25" t="inlineStr">
        <is>
          <t>Pass</t>
        </is>
      </c>
      <c r="J139" s="24" t="n"/>
      <c r="K139" s="24" t="n"/>
      <c r="L139" s="24" t="inlineStr">
        <is>
          <t>DEV (localhost) · PostgreSQL 17.10 ใน Docker (ฐาน nestly_test) · Node.js 22.19 · Windows 11</t>
        </is>
      </c>
      <c r="M139" s="24" t="inlineStr">
        <is>
          <t>Vitest 4.1.11 (อัตโนมัติ)</t>
        </is>
      </c>
      <c r="N139" s="26" t="n">
        <v>46324.78256311963</v>
      </c>
      <c r="O139" s="24" t="inlineStr">
        <is>
          <t>ผลรายเคสอยู่ในไฟล์ JSON ของ Vitest (evidence-api/)</t>
        </is>
      </c>
      <c r="P139" s="24" t="inlineStr">
        <is>
          <t>สคริปต์: tests/integration/auth-ownership.test.ts
ชื่อเทสต์: authentication integration logs in through the real route, sets a secure cookie, and revokes it on logout</t>
        </is>
      </c>
    </row>
    <row r="140" ht="60" customHeight="1">
      <c r="A140" s="23" t="inlineStr">
        <is>
          <t>TC_INT_AUTH_003</t>
        </is>
      </c>
      <c r="B140" s="24" t="inlineStr">
        <is>
          <t>Authentication</t>
        </is>
      </c>
      <c r="C140" s="24" t="inlineStr">
        <is>
          <t>รหัสผิดได้ข้อความกลาง และปฏิเสธการ login ข้ามโดเมน</t>
        </is>
      </c>
      <c r="D140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0" s="24" t="inlineStr">
        <is>
          <t>1. POST login รหัสผิด
2. POST login จาก origin ภายนอก</t>
        </is>
      </c>
      <c r="F140" s="24" t="inlineStr">
        <is>
          <t>password = wrong-password · origin = https://attacker.example</t>
        </is>
      </c>
      <c r="G140" s="24" t="inlineStr">
        <is>
          <t>รหัสผิด 401 "อีเมลหรือรหัสผ่านไม่ถูกต้อง" · ข้ามโดเมน 403</t>
        </is>
      </c>
      <c r="H140" s="24" t="inlineStr">
        <is>
          <t>ผลตรงตามที่คาดหวัง — assertion ผ่านครบ (0.08 วินาที)</t>
        </is>
      </c>
      <c r="I140" s="25" t="inlineStr">
        <is>
          <t>Pass</t>
        </is>
      </c>
      <c r="J140" s="24" t="n"/>
      <c r="K140" s="24" t="n"/>
      <c r="L140" s="24" t="inlineStr">
        <is>
          <t>DEV (localhost) · PostgreSQL 17.10 ใน Docker (ฐาน nestly_test) · Node.js 22.19 · Windows 11</t>
        </is>
      </c>
      <c r="M140" s="24" t="inlineStr">
        <is>
          <t>Vitest 4.1.11 (อัตโนมัติ)</t>
        </is>
      </c>
      <c r="N140" s="26" t="n">
        <v>46324.78256437543</v>
      </c>
      <c r="O140" s="24" t="inlineStr">
        <is>
          <t>ผลรายเคสอยู่ในไฟล์ JSON ของ Vitest (evidence-api/)</t>
        </is>
      </c>
      <c r="P140" s="24" t="inlineStr">
        <is>
          <t>สคริปต์: tests/integration/auth-ownership.test.ts
ชื่อเทสต์: authentication integration returns generic login failures and rejects cross-origin requests</t>
        </is>
      </c>
    </row>
    <row r="141" ht="60" customHeight="1">
      <c r="A141" s="23" t="inlineStr">
        <is>
          <t>TC_INT_SESSION_001</t>
        </is>
      </c>
      <c r="B141" s="24" t="inlineStr">
        <is>
          <t>Session Management</t>
        </is>
      </c>
      <c r="C141" s="24" t="inlineStr">
        <is>
          <t>สร้าง session แบบ HttpOnly และอ่านสิทธิ์หอพักจากฐานข้อมูล</t>
        </is>
      </c>
      <c r="D14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1" s="24" t="inlineStr">
        <is>
          <t>1. createSession()
2. getRequestAuth() ด้วย cookie</t>
        </is>
      </c>
      <c r="F141" s="24" t="inlineStr">
        <is>
          <t>ผู้ใช้ = เจ้าของหอ A</t>
        </is>
      </c>
      <c r="G141" s="24" t="inlineStr">
        <is>
          <t>cookie HttpOnly, SameSite=Lax · ได้ userId, PROPERTY_ADMIN, propertyIds = [หอ A]</t>
        </is>
      </c>
      <c r="H141" s="24" t="inlineStr">
        <is>
          <t>ผลตรงตามที่คาดหวัง — assertion ผ่านครบ (0.02 วินาที)</t>
        </is>
      </c>
      <c r="I141" s="25" t="inlineStr">
        <is>
          <t>Pass</t>
        </is>
      </c>
      <c r="J141" s="24" t="n"/>
      <c r="K141" s="24" t="n"/>
      <c r="L141" s="24" t="inlineStr">
        <is>
          <t>DEV (localhost) · PostgreSQL 17.10 ใน Docker (ฐาน nestly_test) · Node.js 22.19 · Windows 11</t>
        </is>
      </c>
      <c r="M141" s="24" t="inlineStr">
        <is>
          <t>Vitest 4.1.11 (อัตโนมัติ)</t>
        </is>
      </c>
      <c r="N141" s="26" t="n">
        <v>46324.78256534341</v>
      </c>
      <c r="O141" s="24" t="inlineStr">
        <is>
          <t>ผลรายเคสอยู่ในไฟล์ JSON ของ Vitest (evidence-api/)</t>
        </is>
      </c>
      <c r="P141" s="24" t="inlineStr">
        <is>
          <t>สคริปต์: tests/integration/auth-ownership.test.ts
ชื่อเทสต์: authentication integration creates an HttpOnly session and resolves memberships from PostgreSQL</t>
        </is>
      </c>
    </row>
    <row r="142" ht="60" customHeight="1">
      <c r="A142" s="23" t="inlineStr">
        <is>
          <t>TC_INT_SESSION_002</t>
        </is>
      </c>
      <c r="B142" s="24" t="inlineStr">
        <is>
          <t>Session Management</t>
        </is>
      </c>
      <c r="C142" s="24" t="inlineStr">
        <is>
          <t>ปฏิเสธ session ที่ไม่มี หมดอายุ ถูกเพิกถอน หรือบัญชีถูกปิด</t>
        </is>
      </c>
      <c r="D142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2" s="24" t="inlineStr">
        <is>
          <t>1. เรียกโดยไม่มี cookie
2. ตั้ง expiresAt ย้อนหลัง
3. revokeSession()
4. ตั้ง isActive = false</t>
        </is>
      </c>
      <c r="F142" s="24" t="inlineStr">
        <is>
          <t>session 4 แบบ</t>
        </is>
      </c>
      <c r="G142" s="24" t="inlineStr">
        <is>
          <t>ไม่มี cookie ได้ 401 · อีก 3 กรณีอ่านสิทธิ์ไม่ได้ (null)</t>
        </is>
      </c>
      <c r="H142" s="24" t="inlineStr">
        <is>
          <t>ผลตรงตามที่คาดหวัง — assertion ผ่านครบ (0.07 วินาที)</t>
        </is>
      </c>
      <c r="I142" s="25" t="inlineStr">
        <is>
          <t>Pass</t>
        </is>
      </c>
      <c r="J142" s="24" t="n"/>
      <c r="K142" s="24" t="n"/>
      <c r="L142" s="24" t="inlineStr">
        <is>
          <t>DEV (localhost) · PostgreSQL 17.10 ใน Docker (ฐาน nestly_test) · Node.js 22.19 · Windows 11</t>
        </is>
      </c>
      <c r="M142" s="24" t="inlineStr">
        <is>
          <t>Vitest 4.1.11 (อัตโนมัติ)</t>
        </is>
      </c>
      <c r="N142" s="26" t="n">
        <v>46324.78256556796</v>
      </c>
      <c r="O142" s="24" t="inlineStr">
        <is>
          <t>ผลรายเคสอยู่ในไฟล์ JSON ของ Vitest (evidence-api/)</t>
        </is>
      </c>
      <c r="P142" s="24" t="inlineStr">
        <is>
          <t>สคริปต์: tests/integration/auth-ownership.test.ts
ชื่อเทสต์: authentication integration rejects missing, expired, revoked, and inactive sessions</t>
        </is>
      </c>
    </row>
    <row r="143" ht="60" customHeight="1">
      <c r="A143" s="23" t="inlineStr">
        <is>
          <t>TC_INT_OWN_001</t>
        </is>
      </c>
      <c r="B143" s="24" t="inlineStr">
        <is>
          <t>Record Ownership</t>
        </is>
      </c>
      <c r="C143" s="24" t="inlineStr">
        <is>
          <t>สิทธิ์หอพักอ่านจาก PropertyMembership และเปลี่ยนตามทันทีในคำขอถัดไป</t>
        </is>
      </c>
      <c r="D143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3" s="24" t="inlineStr">
        <is>
          <t>1. อ่านสิทธิ์
2. เพิ่ม membership หอ B
3. อ่านสิทธิ์
4. ลบ membership
5. อ่านสิทธิ์</t>
        </is>
      </c>
      <c r="F143" s="24" t="inlineStr">
        <is>
          <t>token เดิมตลอด</t>
        </is>
      </c>
      <c r="G143" s="24" t="inlineStr">
        <is>
          <t>[หอ A] → [หอ A, หอ B] → [หอ A]</t>
        </is>
      </c>
      <c r="H143" s="24" t="inlineStr">
        <is>
          <t>ผลตรงตามที่คาดหวัง — assertion ผ่านครบ (0.04 วินาที)</t>
        </is>
      </c>
      <c r="I143" s="25" t="inlineStr">
        <is>
          <t>Pass</t>
        </is>
      </c>
      <c r="J143" s="24" t="n"/>
      <c r="K143" s="24" t="n"/>
      <c r="L143" s="24" t="inlineStr">
        <is>
          <t>DEV (localhost) · PostgreSQL 17.10 ใน Docker (ฐาน nestly_test) · Node.js 22.19 · Windows 11</t>
        </is>
      </c>
      <c r="M143" s="24" t="inlineStr">
        <is>
          <t>Vitest 4.1.11 (อัตโนมัติ)</t>
        </is>
      </c>
      <c r="N143" s="26" t="n">
        <v>46324.78256633128</v>
      </c>
      <c r="O143" s="24" t="inlineStr">
        <is>
          <t>ผลรายเคสอยู่ในไฟล์ JSON ของ Vitest (evidence-api/)</t>
        </is>
      </c>
      <c r="P143" s="24" t="inlineStr">
        <is>
          <t>สคริปต์: tests/integration/auth-ownership.test.ts
ชื่อเทสต์: record ownership integration uses PropertyMembership as the only scope and reflects membership changes on the next request</t>
        </is>
      </c>
    </row>
    <row r="144" ht="60" customHeight="1">
      <c r="A144" s="23" t="inlineStr">
        <is>
          <t>TC_INT_OWN_002</t>
        </is>
      </c>
      <c r="B144" s="24" t="inlineStr">
        <is>
          <t>Record Ownership</t>
        </is>
      </c>
      <c r="C144" s="24" t="inlineStr">
        <is>
          <t>เจ้าของหอเข้าได้เฉพาะหอตัวเอง หอคนอื่นได้ 404 (กัน IDOR)</t>
        </is>
      </c>
      <c r="D144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4" s="24" t="inlineStr">
        <is>
          <t>1. requirePropertyAccess(หอ A)
2. requirePropertyAccess(หอ B)</t>
        </is>
      </c>
      <c r="F144" s="24" t="inlineStr">
        <is>
          <t>ผู้ใช้ = เจ้าของหอ A</t>
        </is>
      </c>
      <c r="G144" s="24" t="inlineStr">
        <is>
          <t>หอ A ผ่าน · หอ B ได้ ApiError 404</t>
        </is>
      </c>
      <c r="H144" s="24" t="inlineStr">
        <is>
          <t>ผลตรงตามที่คาดหวัง — assertion ผ่านครบ (0.00 วินาที)</t>
        </is>
      </c>
      <c r="I144" s="25" t="inlineStr">
        <is>
          <t>Pass</t>
        </is>
      </c>
      <c r="J144" s="24" t="n"/>
      <c r="K144" s="24" t="n"/>
      <c r="L144" s="24" t="inlineStr">
        <is>
          <t>DEV (localhost) · PostgreSQL 17.10 ใน Docker (ฐาน nestly_test) · Node.js 22.19 · Windows 11</t>
        </is>
      </c>
      <c r="M144" s="24" t="inlineStr">
        <is>
          <t>Vitest 4.1.11 (อัตโนมัติ)</t>
        </is>
      </c>
      <c r="N144" s="26" t="n">
        <v>46324.78256678801</v>
      </c>
      <c r="O144" s="24" t="inlineStr">
        <is>
          <t>ผลรายเคสอยู่ในไฟล์ JSON ของ Vitest (evidence-api/)</t>
        </is>
      </c>
      <c r="P144" s="24" t="inlineStr">
        <is>
          <t>สคริปต์: tests/integration/auth-ownership.test.ts
ชื่อเทสต์: record ownership integration allows an owner only their property and intentionally returns 404 for another property</t>
        </is>
      </c>
    </row>
    <row r="145" ht="60" customHeight="1">
      <c r="A145" s="23" t="inlineStr">
        <is>
          <t>TC_INT_OWN_003</t>
        </is>
      </c>
      <c r="B145" s="24" t="inlineStr">
        <is>
          <t>Record Ownership</t>
        </is>
      </c>
      <c r="C145" s="24" t="inlineStr">
        <is>
          <t>Super Admin เข้าได้ทุกหอ</t>
        </is>
      </c>
      <c r="D145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45" s="24" t="inlineStr">
        <is>
          <t>1. requirePropertyAccess() หอ A และหอ B</t>
        </is>
      </c>
      <c r="F145" s="24" t="inlineStr">
        <is>
          <t>role = SUPER_ADMIN · propertyIds = []</t>
        </is>
      </c>
      <c r="G145" s="24" t="inlineStr">
        <is>
          <t>ผ่านทั้งสองหอ</t>
        </is>
      </c>
      <c r="H145" s="24" t="inlineStr">
        <is>
          <t>ผลตรงตามที่คาดหวัง — assertion ผ่านครบ (0.00 วินาที)</t>
        </is>
      </c>
      <c r="I145" s="25" t="inlineStr">
        <is>
          <t>Pass</t>
        </is>
      </c>
      <c r="J145" s="24" t="n"/>
      <c r="K145" s="24" t="n"/>
      <c r="L145" s="24" t="inlineStr">
        <is>
          <t>DEV (localhost) · PostgreSQL 17.10 ใน Docker (ฐาน nestly_test) · Node.js 22.19 · Windows 11</t>
        </is>
      </c>
      <c r="M145" s="24" t="inlineStr">
        <is>
          <t>Vitest 4.1.11 (อัตโนมัติ)</t>
        </is>
      </c>
      <c r="N145" s="26" t="n">
        <v>46324.78256680303</v>
      </c>
      <c r="O145" s="24" t="inlineStr">
        <is>
          <t>ผลรายเคสอยู่ในไฟล์ JSON ของ Vitest (evidence-api/)</t>
        </is>
      </c>
      <c r="P145" s="24" t="inlineStr">
        <is>
          <t>สคริปต์: tests/integration/auth-ownership.test.ts
ชื่อเทสต์: record ownership integration allows Super Admin cross-property access</t>
        </is>
      </c>
    </row>
    <row r="146" ht="60" customHeight="1">
      <c r="A146" s="23" t="inlineStr">
        <is>
          <t>TC_INT_CHAT_001</t>
        </is>
      </c>
      <c r="B146" s="24" t="inlineStr">
        <is>
          <t>Chat</t>
        </is>
      </c>
      <c r="C146" s="24" t="inlineStr">
        <is>
          <t>เวลาอ่านแชทของเจ้าของหอและผู้เช่าแยกกัน</t>
        </is>
      </c>
      <c r="D146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46" s="24" t="inlineStr">
        <is>
          <t>1. ผู้เช่าเปิดอ่าน
2. เจ้าของหอเปิดอ่าน</t>
        </is>
      </c>
      <c r="F146" s="24" t="inlineStr">
        <is>
          <t>ห้องแชท TENANT_PROPERTY</t>
        </is>
      </c>
      <c r="G146" s="24" t="inlineStr">
        <is>
          <t>ผู้เช่าอ่าน → lastTenantReadAt มีค่า คอลัมน์อื่นว่าง · เจ้าของอ่าน → lastAdminReadAt มีค่า</t>
        </is>
      </c>
      <c r="H146" s="24" t="inlineStr">
        <is>
          <t>ผลตรงตามที่คาดหวัง — assertion ผ่านครบ (0.04 วินาที)</t>
        </is>
      </c>
      <c r="I146" s="25" t="inlineStr">
        <is>
          <t>Pass</t>
        </is>
      </c>
      <c r="J146" s="24" t="n"/>
      <c r="K146" s="24" t="n"/>
      <c r="L146" s="24" t="inlineStr">
        <is>
          <t>DEV (localhost) · PostgreSQL 17.10 ใน Docker (ฐาน nestly_test) · Node.js 22.19 · Windows 11</t>
        </is>
      </c>
      <c r="M146" s="24" t="inlineStr">
        <is>
          <t>Vitest 4.1.11 (อัตโนมัติ)</t>
        </is>
      </c>
      <c r="N146" s="26" t="n">
        <v>46324.78260773148</v>
      </c>
      <c r="O146" s="24" t="inlineStr">
        <is>
          <t>ผลรายเคสอยู่ในไฟล์ JSON ของ Vitest (evidence-api/)</t>
        </is>
      </c>
      <c r="P146" s="24" t="inlineStr">
        <is>
          <t>สคริปต์: tests/integration/chat-read-state.test.ts
ชื่อเทสต์: chat read state per role keeps the owner and tenant read times independent</t>
        </is>
      </c>
    </row>
    <row r="147" ht="60" customHeight="1">
      <c r="A147" s="23" t="inlineStr">
        <is>
          <t>TC_INT_CHAT_002</t>
        </is>
      </c>
      <c r="B147" s="24" t="inlineStr">
        <is>
          <t>Chat</t>
        </is>
      </c>
      <c r="C147" s="24" t="inlineStr">
        <is>
          <t>เวลาอ่านของ Super Admin บันทึกในคอลัมน์ของตัวเอง</t>
        </is>
      </c>
      <c r="D147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47" s="24" t="inlineStr">
        <is>
          <t>1. Super Admin เปิดอ่านแชทฝ่ายช่วยเหลือ</t>
        </is>
      </c>
      <c r="F147" s="24" t="inlineStr">
        <is>
          <t>ห้องแชท PROPERTY_SUPPORT</t>
        </is>
      </c>
      <c r="G147" s="24" t="inlineStr">
        <is>
          <t>lastSuperAdminReadAt มีค่า · lastTenantReadAt ว่าง</t>
        </is>
      </c>
      <c r="H147" s="24" t="inlineStr">
        <is>
          <t>ผลตรงตามที่คาดหวัง — assertion ผ่านครบ (0.02 วินาที)</t>
        </is>
      </c>
      <c r="I147" s="25" t="inlineStr">
        <is>
          <t>Pass</t>
        </is>
      </c>
      <c r="J147" s="24" t="n"/>
      <c r="K147" s="24" t="n"/>
      <c r="L147" s="24" t="inlineStr">
        <is>
          <t>DEV (localhost) · PostgreSQL 17.10 ใน Docker (ฐาน nestly_test) · Node.js 22.19 · Windows 11</t>
        </is>
      </c>
      <c r="M147" s="24" t="inlineStr">
        <is>
          <t>Vitest 4.1.11 (อัตโนมัติ)</t>
        </is>
      </c>
      <c r="N147" s="26" t="n">
        <v>46324.78260814599</v>
      </c>
      <c r="O147" s="24" t="inlineStr">
        <is>
          <t>ผลรายเคสอยู่ในไฟล์ JSON ของ Vitest (evidence-api/)</t>
        </is>
      </c>
      <c r="P147" s="24" t="inlineStr">
        <is>
          <t>สคริปต์: tests/integration/chat-read-state.test.ts
ชื่อเทสต์: chat read state per role writes the super admin read time to its own column</t>
        </is>
      </c>
    </row>
    <row r="148" ht="60" customHeight="1">
      <c r="A148" s="23" t="inlineStr">
        <is>
          <t>TC_INT_CHAT_003</t>
        </is>
      </c>
      <c r="B148" s="24" t="inlineStr">
        <is>
          <t>Chat</t>
        </is>
      </c>
      <c r="C148" s="24" t="inlineStr">
        <is>
          <t>ข้อความแชทของผู้เช่าเรียงจากเก่าไปใหม่</t>
        </is>
      </c>
      <c r="D148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48" s="24" t="inlineStr">
        <is>
          <t>1. สร้างข้อความ 3 ข้อความ
2. ดึงหน้าแรก</t>
        </is>
      </c>
      <c r="F148" s="24" t="inlineStr">
        <is>
          <t>ข้อความแรก · ข้อความที่สอง · ข้อความที่สาม</t>
        </is>
      </c>
      <c r="G148" s="24" t="inlineStr">
        <is>
          <t>ได้ลำดับ แรก → สอง → สาม</t>
        </is>
      </c>
      <c r="H148" s="24" t="inlineStr">
        <is>
          <t>ผลตรงตามที่คาดหวัง — assertion ผ่านครบ (0.03 วินาที)</t>
        </is>
      </c>
      <c r="I148" s="25" t="inlineStr">
        <is>
          <t>Pass</t>
        </is>
      </c>
      <c r="J148" s="24" t="n"/>
      <c r="K148" s="24" t="n"/>
      <c r="L148" s="24" t="inlineStr">
        <is>
          <t>DEV (localhost) · PostgreSQL 17.10 ใน Docker (ฐาน nestly_test) · Node.js 22.19 · Windows 11</t>
        </is>
      </c>
      <c r="M148" s="24" t="inlineStr">
        <is>
          <t>Vitest 4.1.11 (อัตโนมัติ)</t>
        </is>
      </c>
      <c r="N148" s="26" t="n">
        <v>46324.78260835879</v>
      </c>
      <c r="O148" s="24" t="inlineStr">
        <is>
          <t>ผลรายเคสอยู่ในไฟล์ JSON ของ Vitest (evidence-api/)</t>
        </is>
      </c>
      <c r="P148" s="24" t="inlineStr">
        <is>
          <t>สคริปต์: tests/integration/chat-read-state.test.ts
ชื่อเทสต์: chat read state per role returns tenant messages oldest first</t>
        </is>
      </c>
    </row>
    <row r="149" ht="60" customHeight="1">
      <c r="A149" s="23" t="inlineStr">
        <is>
          <t>TC_INT_CHAT_004</t>
        </is>
      </c>
      <c r="B149" s="24" t="inlineStr">
        <is>
          <t>Chat</t>
        </is>
      </c>
      <c r="C149" s="24" t="inlineStr">
        <is>
          <t>แต่ละบทบาทเห็นเฉพาะประเภทแชทของตัวเอง (RBAC)</t>
        </is>
      </c>
      <c r="D149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49" s="24" t="inlineStr">
        <is>
          <t>1. ผู้เช่าดึงแชท
2. ผู้เช่าขอแชท PROPERTY_SUPPORT
3. Super Admin ขอแชท TENANT_PROPERTY
4. Super Admin ดึงแชทช่วยเหลือ</t>
        </is>
      </c>
      <c r="F149" s="24" t="inlineStr">
        <is>
          <t>TENANT_PROPERTY · PROPERTY_SUPPORT</t>
        </is>
      </c>
      <c r="G149" s="24" t="inlineStr">
        <is>
          <t>ผู้เช่าเห็นเฉพาะ TENANT_PROPERTY · ขอข้ามประเภทได้ 403 ทั้งสองฝั่ง</t>
        </is>
      </c>
      <c r="H149" s="24" t="inlineStr">
        <is>
          <t>ผลตรงตามที่คาดหวัง — assertion ผ่านครบ (0.04 วินาที)</t>
        </is>
      </c>
      <c r="I149" s="25" t="inlineStr">
        <is>
          <t>Pass</t>
        </is>
      </c>
      <c r="J149" s="24" t="n"/>
      <c r="K149" s="24" t="n"/>
      <c r="L149" s="24" t="inlineStr">
        <is>
          <t>DEV (localhost) · PostgreSQL 17.10 ใน Docker (ฐาน nestly_test) · Node.js 22.19 · Windows 11</t>
        </is>
      </c>
      <c r="M149" s="24" t="inlineStr">
        <is>
          <t>Vitest 4.1.11 (อัตโนมัติ)</t>
        </is>
      </c>
      <c r="N149" s="26" t="n">
        <v>46324.7826086893</v>
      </c>
      <c r="O149" s="24" t="inlineStr">
        <is>
          <t>ผลรายเคสอยู่ในไฟล์ JSON ของ Vitest (evidence-api/)</t>
        </is>
      </c>
      <c r="P149" s="24" t="inlineStr">
        <is>
          <t>สคริปต์: tests/integration/chat-read-state.test.ts
ชื่อเทสต์: chat read state per role limits each role to the conversation type it is allowed to see</t>
        </is>
      </c>
    </row>
    <row r="150" ht="60" customHeight="1">
      <c r="A150" s="23" t="inlineStr">
        <is>
          <t>TC_INT_ONBOARD_001</t>
        </is>
      </c>
      <c r="B150" s="24" t="inlineStr">
        <is>
          <t>Tenant Onboarding</t>
        </is>
      </c>
      <c r="C150" s="24" t="inlineStr">
        <is>
          <t>ผู้เช่าที่มีบัญชีแล้วรับคำเชิญห้องใหม่ได้</t>
        </is>
      </c>
      <c r="D150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50" s="24" t="inlineStr">
        <is>
          <t>1. สร้างคำเชิญ
2. ผู้เช่ารับคำเชิญ
3. ตรวจสิทธิ์ห้องด้วยโปรไฟล์อื่น
4. ใช้คำเชิญซ้ำ</t>
        </is>
      </c>
      <c r="F150" s="24" t="inlineStr">
        <is>
          <t>invitationCode สุ่ม</t>
        </is>
      </c>
      <c r="G150" s="24" t="inlineStr">
        <is>
          <t>ได้การเข้าพักสถานะ PENDING · โปรไฟล์อื่นได้ 404 · ใช้คำเชิญซ้ำได้ 400</t>
        </is>
      </c>
      <c r="H150" s="24" t="inlineStr">
        <is>
          <t>ผลตรงตามที่คาดหวัง — assertion ผ่านครบ (0.18 วินาที)</t>
        </is>
      </c>
      <c r="I150" s="25" t="inlineStr">
        <is>
          <t>Pass</t>
        </is>
      </c>
      <c r="J150" s="24" t="n"/>
      <c r="K150" s="24" t="n"/>
      <c r="L150" s="24" t="inlineStr">
        <is>
          <t>DEV (localhost) · PostgreSQL 17.10 ใน Docker (ฐาน nestly_test) · Node.js 22.19 · Windows 11</t>
        </is>
      </c>
      <c r="M150" s="24" t="inlineStr">
        <is>
          <t>Vitest 4.1.11 (อัตโนมัติ)</t>
        </is>
      </c>
      <c r="N150" s="26" t="n">
        <v>46324.78249078704</v>
      </c>
      <c r="O150" s="24" t="inlineStr">
        <is>
          <t>ผลรายเคสอยู่ในไฟล์ JSON ของ Vitest (evidence-api/)</t>
        </is>
      </c>
      <c r="P150" s="24" t="inlineStr">
        <is>
          <t>สคริปต์: tests/integration/critical-workflows.test.ts
ชื่อเทสต์: critical property workflow integration lets an existing tenant account accept another invitation</t>
        </is>
      </c>
    </row>
    <row r="151" ht="96" customHeight="1">
      <c r="A151" s="23" t="inlineStr">
        <is>
          <t>TC_INT_FLOW_001</t>
        </is>
      </c>
      <c r="B151" s="24" t="inlineStr">
        <is>
          <t>End-to-end Billing Flow</t>
        </is>
      </c>
      <c r="C151" s="24" t="inlineStr">
        <is>
          <t>ทั้งสาย: รับผู้เช่า → สัญญาหลายเวอร์ชัน → มิเตอร์ → ออกบิล → PromptPay → ตรวจสลิป → ค่าปรับ → ยกเลิกบิล</t>
        </is>
      </c>
      <c r="D15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51" s="24" t="inlineStr">
        <is>
          <t>1. ตั้งค่าหอ
2. ผู้เช่าสมัคร → อนุมัติ
3. สร้างและแก้สัญญา → เปิดใช้ → ต่อสัญญา
4. จดมิเตอร์น้ำ/ไฟ
5. สร้างบิล → ออกบิล → สร้าง PromptPay
6. ส่งสลิป → อนุมัติ
7. คำนวณค่าปรับ → ยกเลิกบิล</t>
        </is>
      </c>
      <c r="F151" s="24" t="inlineStr">
        <is>
          <t>ค่าเช่า + น้ำ + ไฟ รวม 4,198 บาท · บิลค้าง 1,000 บาท ครบกำหนด 2026-08-05</t>
        </is>
      </c>
      <c r="G151" s="24" t="inlineStr">
        <is>
          <t>ห้องเป็น OCCUPIED · สัญญา v2 · บิล DRAFT→PENDING→PAID · PromptPay 4,198 · ส่งสลิปซ้ำ 409 · หอ B อ่านสลิป/สัญญาได้ 404 · ค่าปรับ 200 สถานะ OVERDUE · ยกเลิกซ้ำ 409</t>
        </is>
      </c>
      <c r="H151" s="24" t="inlineStr">
        <is>
          <t>ผลตรงตามที่คาดหวัง — assertion ผ่านครบ (0.72 วินาที)</t>
        </is>
      </c>
      <c r="I151" s="25" t="inlineStr">
        <is>
          <t>Pass</t>
        </is>
      </c>
      <c r="J151" s="24" t="n"/>
      <c r="K151" s="24" t="n"/>
      <c r="L151" s="24" t="inlineStr">
        <is>
          <t>DEV (localhost) · PostgreSQL 17.10 ใน Docker (ฐาน nestly_test) · Node.js 22.19 · Windows 11</t>
        </is>
      </c>
      <c r="M151" s="24" t="inlineStr">
        <is>
          <t>Vitest 4.1.11 (อัตโนมัติ)</t>
        </is>
      </c>
      <c r="N151" s="26" t="n">
        <v>46324.78249286679</v>
      </c>
      <c r="O151" s="24" t="inlineStr">
        <is>
          <t>ผลรายเคสอยู่ในไฟล์ JSON ของ Vitest (evidence-api/)</t>
        </is>
      </c>
      <c r="P151" s="24" t="inlineStr">
        <is>
          <t>สคริปต์: tests/integration/critical-workflows.test.ts
ชื่อเทสต์: critical property workflow integration persists onboarding, contract versioning, meters, billing, PromptPay, slip review, and late fees</t>
        </is>
      </c>
    </row>
    <row r="152" ht="96" customHeight="1">
      <c r="A152" s="23" t="inlineStr">
        <is>
          <t>TC_INT_OWN_004</t>
        </is>
      </c>
      <c r="B152" s="24" t="inlineStr">
        <is>
          <t>Record Ownership</t>
        </is>
      </c>
      <c r="C152" s="24" t="inlineStr">
        <is>
          <t>ตรวจความเป็นเจ้าของข้าม ประกาศ พัสดุ เรื่องแจ้ง ไฟล์แนบ และแชท</t>
        </is>
      </c>
      <c r="D152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52" s="24" t="inlineStr">
        <is>
          <t>1. ประกาศถึงห้อง → ผู้เช่าเห็น
2. พัสดุ → รับแล้ว / หอ B แก้
3. เรื่องแจ้ง + ไฟล์แนบ → หอ B อ่าน
4. ตอบกลับ / เปลี่ยนสถานะจนแก้ไขแล้ว แล้วเปิดใหม่
5. ส่งแชทซ้ำด้วย clientId เดิม / หอ B ส่งแชท</t>
        </is>
      </c>
      <c r="F152" s="24" t="inlineStr">
        <is>
          <t>หอ A กับหอ B</t>
        </is>
      </c>
      <c r="G152" s="24" t="inlineStr">
        <is>
          <t>ผู้เช่าเห็นประกาศ · หอ B ได้ 404 ทุกกรณี · เปิดเรื่องที่แก้แล้วได้ 409 · บันทึกเหตุการณ์ครบ · แชทซ้ำไม่สร้างแถวใหม่</t>
        </is>
      </c>
      <c r="H152" s="24" t="inlineStr">
        <is>
          <t>ผลตรงตามที่คาดหวัง — assertion ผ่านครบ (0.29 วินาที)</t>
        </is>
      </c>
      <c r="I152" s="25" t="inlineStr">
        <is>
          <t>Pass</t>
        </is>
      </c>
      <c r="J152" s="24" t="n"/>
      <c r="K152" s="24" t="n"/>
      <c r="L152" s="24" t="inlineStr">
        <is>
          <t>DEV (localhost) · PostgreSQL 17.10 ใน Docker (ฐาน nestly_test) · Node.js 22.19 · Windows 11</t>
        </is>
      </c>
      <c r="M152" s="24" t="inlineStr">
        <is>
          <t>Vitest 4.1.11 (อัตโนมัติ)</t>
        </is>
      </c>
      <c r="N152" s="26" t="n">
        <v>46324.78250114799</v>
      </c>
      <c r="O152" s="24" t="inlineStr">
        <is>
          <t>ผลรายเคสอยู่ในไฟล์ JSON ของ Vitest (evidence-api/)</t>
        </is>
      </c>
      <c r="P152" s="24" t="inlineStr">
        <is>
          <t>สคริปต์: tests/integration/critical-workflows.test.ts
ชื่อเทสต์: critical property workflow integration enforces ownership across announcements, parcels, tickets, attachments, and chat</t>
        </is>
      </c>
    </row>
    <row r="153" ht="60" customHeight="1">
      <c r="A153" s="23" t="inlineStr">
        <is>
          <t>TC_INT_CHAT_005</t>
        </is>
      </c>
      <c r="B153" s="24" t="inlineStr">
        <is>
          <t>Chat</t>
        </is>
      </c>
      <c r="C153" s="24" t="inlineStr">
        <is>
          <t>แบ่งหน้าแชทเกิน 50 ข้อความโดยไม่ตกหล่น แม้เวลาเท่ากัน (Boundary)</t>
        </is>
      </c>
      <c r="D153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53" s="24" t="inlineStr">
        <is>
          <t>1. สร้าง 61 ข้อความเวลาเดียวกัน
2. ดึงหน้าล่าสุด
3. ดึงหน้าก่อนหน้า</t>
        </is>
      </c>
      <c r="F153" s="24" t="inlineStr">
        <is>
          <t>61 ข้อความ · createdAt เท่ากัน</t>
        </is>
      </c>
      <c r="G153" s="24" t="inlineStr">
        <is>
          <t>หน้าแรก 50 (hasMore true) · หน้าถัดไป 11 (hasMore false) · รวมไม่ซ้ำ 61</t>
        </is>
      </c>
      <c r="H153" s="24" t="inlineStr">
        <is>
          <t>ผลตรงตามที่คาดหวัง — assertion ผ่านครบ (0.05 วินาที)</t>
        </is>
      </c>
      <c r="I153" s="25" t="inlineStr">
        <is>
          <t>Pass</t>
        </is>
      </c>
      <c r="J153" s="24" t="n"/>
      <c r="K153" s="24" t="n"/>
      <c r="L153" s="24" t="inlineStr">
        <is>
          <t>DEV (localhost) · PostgreSQL 17.10 ใน Docker (ฐาน nestly_test) · Node.js 22.19 · Windows 11</t>
        </is>
      </c>
      <c r="M153" s="24" t="inlineStr">
        <is>
          <t>Vitest 4.1.11 (อัตโนมัติ)</t>
        </is>
      </c>
      <c r="N153" s="26" t="n">
        <v>46324.78250453554</v>
      </c>
      <c r="O153" s="24" t="inlineStr">
        <is>
          <t>ผลรายเคสอยู่ในไฟล์ JSON ของ Vitest (evidence-api/)</t>
        </is>
      </c>
      <c r="P153" s="24" t="inlineStr">
        <is>
          <t>สคริปต์: tests/integration/critical-workflows.test.ts
ชื่อเทสต์: critical property workflow integration paginates more than 50 chat messages without gaps when timestamps are identical</t>
        </is>
      </c>
    </row>
    <row r="154" ht="60" customHeight="1">
      <c r="A154" s="23" t="inlineStr">
        <is>
          <t>TC_INT_DASH_001</t>
        </is>
      </c>
      <c r="B154" s="24" t="inlineStr">
        <is>
          <t>Owner Dashboard</t>
        </is>
      </c>
      <c r="C154" s="24" t="inlineStr">
        <is>
          <t>แถวผู้เช่าบนแดชบอร์ดมีห้อง ยานพาหนะ และผู้พักร่วม</t>
        </is>
      </c>
      <c r="D154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54" s="24" t="inlineStr">
        <is>
          <t>1. ดึง read model แดชบอร์ดเจ้าของหอ</t>
        </is>
      </c>
      <c r="F154" s="24" t="inlineStr">
        <is>
          <t>ผู้เช่าหลักมีรถยนต์ + ผู้พักร่วม 1 คน</t>
        </is>
      </c>
      <c r="G154" s="24" t="inlineStr">
        <is>
          <t>แถวผู้เช่าหลักมีเลขห้อง "รถยนต์" ผู้พักร่วม และจำนวนผู้พัก 2</t>
        </is>
      </c>
      <c r="H154" s="24" t="inlineStr">
        <is>
          <t>ผลตรงตามที่คาดหวัง — assertion ผ่านครบ (0.08 วินาที)</t>
        </is>
      </c>
      <c r="I154" s="25" t="inlineStr">
        <is>
          <t>Pass</t>
        </is>
      </c>
      <c r="J154" s="24" t="n"/>
      <c r="K154" s="24" t="n"/>
      <c r="L154" s="24" t="inlineStr">
        <is>
          <t>DEV (localhost) · PostgreSQL 17.10 ใน Docker (ฐาน nestly_test) · Node.js 22.19 · Windows 11</t>
        </is>
      </c>
      <c r="M154" s="24" t="inlineStr">
        <is>
          <t>Vitest 4.1.11 (อัตโนมัติ)</t>
        </is>
      </c>
      <c r="N154" s="26" t="n">
        <v>46324.78262251157</v>
      </c>
      <c r="O154" s="24" t="inlineStr">
        <is>
          <t>ผลรายเคสอยู่ในไฟล์ JSON ของ Vitest (evidence-api/)</t>
        </is>
      </c>
      <c r="P154" s="24" t="inlineStr">
        <is>
          <t>สคริปต์: tests/integration/dashboard-read-model.test.ts
ชื่อเทสต์: owner dashboard read model builds the tenant rows with their room, vehicle and room-mates</t>
        </is>
      </c>
    </row>
    <row r="155" ht="60" customHeight="1">
      <c r="A155" s="23" t="inlineStr">
        <is>
          <t>TC_INT_DASH_002</t>
        </is>
      </c>
      <c r="B155" s="24" t="inlineStr">
        <is>
          <t>Owner Dashboard</t>
        </is>
      </c>
      <c r="C155" s="24" t="inlineStr">
        <is>
          <t>แยกรายการบิลเป็น ค่าเช่า น้ำ ไฟ ค่าบริการ</t>
        </is>
      </c>
      <c r="D155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55" s="24" t="inlineStr">
        <is>
          <t>1. ดึง read model บิล</t>
        </is>
      </c>
      <c r="F155" s="24" t="inlineStr">
        <is>
          <t>เช่า 3,000 · น้ำ 100 · ไฟ 250 · บริการ 50</t>
        </is>
      </c>
      <c r="G155" s="24" t="inlineStr">
        <is>
          <t>ได้ rent 3000, water 100, electricity 250, service 50</t>
        </is>
      </c>
      <c r="H155" s="24" t="inlineStr">
        <is>
          <t>ผลตรงตามที่คาดหวัง — assertion ผ่านครบ (0.02 วินาที)</t>
        </is>
      </c>
      <c r="I155" s="25" t="inlineStr">
        <is>
          <t>Pass</t>
        </is>
      </c>
      <c r="J155" s="24" t="n"/>
      <c r="K155" s="24" t="n"/>
      <c r="L155" s="24" t="inlineStr">
        <is>
          <t>DEV (localhost) · PostgreSQL 17.10 ใน Docker (ฐาน nestly_test) · Node.js 22.19 · Windows 11</t>
        </is>
      </c>
      <c r="M155" s="24" t="inlineStr">
        <is>
          <t>Vitest 4.1.11 (อัตโนมัติ)</t>
        </is>
      </c>
      <c r="N155" s="26" t="n">
        <v>46324.78262343202</v>
      </c>
      <c r="O155" s="24" t="inlineStr">
        <is>
          <t>ผลรายเคสอยู่ในไฟล์ JSON ของ Vitest (evidence-api/)</t>
        </is>
      </c>
      <c r="P155" s="24" t="inlineStr">
        <is>
          <t>สคริปต์: tests/integration/dashboard-read-model.test.ts
ชื่อเทสต์: owner dashboard read model splits invoice items into rent, water, electricity and service</t>
        </is>
      </c>
    </row>
    <row r="156" ht="60" customHeight="1">
      <c r="A156" s="23" t="inlineStr">
        <is>
          <t>TC_INT_DASH_003</t>
        </is>
      </c>
      <c r="B156" s="24" t="inlineStr">
        <is>
          <t>Owner Dashboard</t>
        </is>
      </c>
      <c r="C156" s="24" t="inlineStr">
        <is>
          <t>รายการห้องมีข้อมูลเฟอร์นิเจอร์</t>
        </is>
      </c>
      <c r="D156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56" s="24" t="inlineStr">
        <is>
          <t>1. ดึง read model ห้อง</t>
        </is>
      </c>
      <c r="F156" s="24" t="inlineStr">
        <is>
          <t>ห้องทดสอบ</t>
        </is>
      </c>
      <c r="G156" s="24" t="inlineStr">
        <is>
          <t>พบห้องและ furniture เป็น array</t>
        </is>
      </c>
      <c r="H156" s="24" t="inlineStr">
        <is>
          <t>ผลตรงตามที่คาดหวัง — assertion ผ่านครบ (0.01 วินาที)</t>
        </is>
      </c>
      <c r="I156" s="25" t="inlineStr">
        <is>
          <t>Pass</t>
        </is>
      </c>
      <c r="J156" s="24" t="n"/>
      <c r="K156" s="24" t="n"/>
      <c r="L156" s="24" t="inlineStr">
        <is>
          <t>DEV (localhost) · PostgreSQL 17.10 ใน Docker (ฐาน nestly_test) · Node.js 22.19 · Windows 11</t>
        </is>
      </c>
      <c r="M156" s="24" t="inlineStr">
        <is>
          <t>Vitest 4.1.11 (อัตโนมัติ)</t>
        </is>
      </c>
      <c r="N156" s="26" t="n">
        <v>46324.78262364997</v>
      </c>
      <c r="O156" s="24" t="inlineStr">
        <is>
          <t>ผลรายเคสอยู่ในไฟล์ JSON ของ Vitest (evidence-api/)</t>
        </is>
      </c>
      <c r="P156" s="24" t="inlineStr">
        <is>
          <t>สคริปต์: tests/integration/dashboard-read-model.test.ts
ชื่อเทสต์: owner dashboard read model lists the rooms with their furniture</t>
        </is>
      </c>
    </row>
    <row r="157" ht="60" customHeight="1">
      <c r="A157" s="23" t="inlineStr">
        <is>
          <t>TC_INT_BRUTE_001</t>
        </is>
      </c>
      <c r="B157" s="24" t="inlineStr">
        <is>
          <t>Brute-force Protection</t>
        </is>
      </c>
      <c r="C157" s="24" t="inlineStr">
        <is>
          <t>กรอกรหัสผิดซ้ำหลายครั้งถูกบล็อก และข้อความยังเป็นแบบกลาง</t>
        </is>
      </c>
      <c r="D15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57" s="24" t="inlineStr">
        <is>
          <t>1. POST /api/auth/login รหัสผิดซ้ำจาก IP เดียว สูงสุด 12 ครั้ง</t>
        </is>
      </c>
      <c r="F157" s="24" t="inlineStr">
        <is>
          <t>IP = 203.0.113.9 · password = Wrong-Password-123</t>
        </is>
      </c>
      <c r="G157" s="24" t="inlineStr">
        <is>
          <t>ก่อนถูกบล็อกได้ 401 ทุกครั้ง · ภายใน 12 ครั้งได้ 429</t>
        </is>
      </c>
      <c r="H157" s="24" t="inlineStr">
        <is>
          <t>ผลตรงตามที่คาดหวัง — assertion ผ่านครบ (0.58 วินาที)</t>
        </is>
      </c>
      <c r="I157" s="25" t="inlineStr">
        <is>
          <t>Pass</t>
        </is>
      </c>
      <c r="J157" s="24" t="n"/>
      <c r="K157" s="24" t="n"/>
      <c r="L157" s="24" t="inlineStr">
        <is>
          <t>DEV (localhost) · PostgreSQL 17.10 ใน Docker (ฐาน nestly_test) · Node.js 22.19 · Windows 11</t>
        </is>
      </c>
      <c r="M157" s="24" t="inlineStr">
        <is>
          <t>Vitest 4.1.11 (อัตโนมัติ)</t>
        </is>
      </c>
      <c r="N157" s="26" t="n">
        <v>46324.7826238218</v>
      </c>
      <c r="O157" s="24" t="inlineStr">
        <is>
          <t>ผลรายเคสอยู่ในไฟล์ JSON ของ Vitest (evidence-api/)</t>
        </is>
      </c>
      <c r="P157" s="24" t="inlineStr">
        <is>
          <t>สคริปต์: tests/integration/dashboard-read-model.test.ts
ชื่อเทสต์: login brute force protection starts refusing after repeated failures and stays generic</t>
        </is>
      </c>
    </row>
    <row r="158" ht="60" customHeight="1">
      <c r="A158" s="23" t="inlineStr">
        <is>
          <t>TC_INT_DOC_001</t>
        </is>
      </c>
      <c r="B158" s="24" t="inlineStr">
        <is>
          <t>Document Preview</t>
        </is>
      </c>
      <c r="C158" s="24" t="inlineStr">
        <is>
          <t>ปฏิเสธคำขอสร้างตัวอย่างเอกสารจากเว็บอื่น (CSRF)</t>
        </is>
      </c>
      <c r="D15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58" s="24" t="inlineStr">
        <is>
          <t>1. POST /api/documents/preview จาก origin ภายนอก</t>
        </is>
      </c>
      <c r="F158" s="24" t="inlineStr">
        <is>
          <t>origin = http://evil.test · kind = invoice</t>
        </is>
      </c>
      <c r="G158" s="24" t="inlineStr">
        <is>
          <t>HTTP 403</t>
        </is>
      </c>
      <c r="H158" s="24" t="inlineStr">
        <is>
          <t>ผลตรงตามที่คาดหวัง — assertion ผ่านครบ (0.01 วินาที)</t>
        </is>
      </c>
      <c r="I158" s="25" t="inlineStr">
        <is>
          <t>Pass</t>
        </is>
      </c>
      <c r="J158" s="24" t="n"/>
      <c r="K158" s="24" t="n"/>
      <c r="L158" s="24" t="inlineStr">
        <is>
          <t>DEV (localhost) · PostgreSQL 17.10 ใน Docker (ฐาน nestly_test) · Node.js 22.19 · Windows 11</t>
        </is>
      </c>
      <c r="M158" s="24" t="inlineStr">
        <is>
          <t>Vitest 4.1.11 (อัตโนมัติ)</t>
        </is>
      </c>
      <c r="N158" s="26" t="n">
        <v>46324.78275299769</v>
      </c>
      <c r="O158" s="24" t="inlineStr">
        <is>
          <t>ผลรายเคสอยู่ในไฟล์ JSON ของ Vitest (evidence-api/)</t>
        </is>
      </c>
      <c r="P158" s="24" t="inlineStr">
        <is>
          <t>สคริปต์: tests/integration/document-preview.test.ts
ชื่อเทสต์: document preview binary response rejects a cross-origin request</t>
        </is>
      </c>
    </row>
    <row r="159" ht="60" customHeight="1">
      <c r="A159" s="23" t="inlineStr">
        <is>
          <t>TC_INT_DOC_002</t>
        </is>
      </c>
      <c r="B159" s="24" t="inlineStr">
        <is>
          <t>Document Preview</t>
        </is>
      </c>
      <c r="C159" s="24" t="inlineStr">
        <is>
          <t>ปฏิเสธชนิดเอกสารที่ไม่รู้จัก</t>
        </is>
      </c>
      <c r="D15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59" s="24" t="inlineStr">
        <is>
          <t>1. POST preview ด้วย kind ไม่มีจริง</t>
        </is>
      </c>
      <c r="F159" s="24" t="inlineStr">
        <is>
          <t>kind = NOT_A_REAL_KIND</t>
        </is>
      </c>
      <c r="G159" s="24" t="inlineStr">
        <is>
          <t>HTTP 400 ตอบเป็น JSON</t>
        </is>
      </c>
      <c r="H159" s="24" t="inlineStr">
        <is>
          <t>ผลตรงตามที่คาดหวัง — assertion ผ่านครบ (0.04 วินาที)</t>
        </is>
      </c>
      <c r="I159" s="25" t="inlineStr">
        <is>
          <t>Pass</t>
        </is>
      </c>
      <c r="J159" s="24" t="n"/>
      <c r="K159" s="24" t="n"/>
      <c r="L159" s="24" t="inlineStr">
        <is>
          <t>DEV (localhost) · PostgreSQL 17.10 ใน Docker (ฐาน nestly_test) · Node.js 22.19 · Windows 11</t>
        </is>
      </c>
      <c r="M159" s="24" t="inlineStr">
        <is>
          <t>Vitest 4.1.11 (อัตโนมัติ)</t>
        </is>
      </c>
      <c r="N159" s="26" t="n">
        <v>46324.78275309252</v>
      </c>
      <c r="O159" s="24" t="inlineStr">
        <is>
          <t>ผลรายเคสอยู่ในไฟล์ JSON ของ Vitest (evidence-api/)</t>
        </is>
      </c>
      <c r="P159" s="24" t="inlineStr">
        <is>
          <t>สคริปต์: tests/integration/document-preview.test.ts
ชื่อเทสต์: document preview binary response rejects an unknown document kind</t>
        </is>
      </c>
    </row>
    <row r="160" ht="60" customHeight="1">
      <c r="A160" s="23" t="inlineStr">
        <is>
          <t>TC_INT_DOC_003</t>
        </is>
      </c>
      <c r="B160" s="24" t="inlineStr">
        <is>
          <t>Document Preview</t>
        </is>
      </c>
      <c r="C160" s="24" t="inlineStr">
        <is>
          <t>ปฏิเสธข้อมูลเอกสารที่มีฟิลด์แปลกปลอม (Strict schema)</t>
        </is>
      </c>
      <c r="D160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0" s="24" t="inlineStr">
        <is>
          <t>1. POST preview พร้อมฟิลด์เกิน</t>
        </is>
      </c>
      <c r="F160" s="24" t="inlineStr">
        <is>
          <t>secret_note = แอบใส่</t>
        </is>
      </c>
      <c r="G160" s="24" t="inlineStr">
        <is>
          <t>HTTP 4xx</t>
        </is>
      </c>
      <c r="H160" s="24" t="inlineStr">
        <is>
          <t>ผลตรงตามที่คาดหวัง — assertion ผ่านครบ (0.02 วินาที)</t>
        </is>
      </c>
      <c r="I160" s="25" t="inlineStr">
        <is>
          <t>Pass</t>
        </is>
      </c>
      <c r="J160" s="24" t="n"/>
      <c r="K160" s="24" t="n"/>
      <c r="L160" s="24" t="inlineStr">
        <is>
          <t>DEV (localhost) · PostgreSQL 17.10 ใน Docker (ฐาน nestly_test) · Node.js 22.19 · Windows 11</t>
        </is>
      </c>
      <c r="M160" s="24" t="inlineStr">
        <is>
          <t>Vitest 4.1.11 (อัตโนมัติ)</t>
        </is>
      </c>
      <c r="N160" s="26" t="n">
        <v>46324.78275352758</v>
      </c>
      <c r="O160" s="24" t="inlineStr">
        <is>
          <t>ผลรายเคสอยู่ในไฟล์ JSON ของ Vitest (evidence-api/)</t>
        </is>
      </c>
      <c r="P160" s="24" t="inlineStr">
        <is>
          <t>สคริปต์: tests/integration/document-preview.test.ts
ชื่อเทสต์: document preview binary response rejects document data carrying an unknown field</t>
        </is>
      </c>
    </row>
    <row r="161" ht="60" customHeight="1">
      <c r="A161" s="23" t="inlineStr">
        <is>
          <t>TC_INT_DOC_004</t>
        </is>
      </c>
      <c r="B161" s="24" t="inlineStr">
        <is>
          <t>Document Preview</t>
        </is>
      </c>
      <c r="C161" s="24" t="inlineStr">
        <is>
          <t>ขอตัวอย่างใบแจ้งหนี้โดยยังไม่มีบิล ต้องแจ้งให้สร้างก่อน</t>
        </is>
      </c>
      <c r="D16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1" s="24" t="inlineStr">
        <is>
          <t>1. POST preview kind=invoice ไม่ส่ง data</t>
        </is>
      </c>
      <c r="F161" s="24" t="inlineStr">
        <is>
          <t>kind = invoice</t>
        </is>
      </c>
      <c r="G161" s="24" t="inlineStr">
        <is>
          <t>HTTP 409</t>
        </is>
      </c>
      <c r="H161" s="24" t="inlineStr">
        <is>
          <t>ผลตรงตามที่คาดหวัง — assertion ผ่านครบ (0.04 วินาที)</t>
        </is>
      </c>
      <c r="I161" s="25" t="inlineStr">
        <is>
          <t>Pass</t>
        </is>
      </c>
      <c r="J161" s="24" t="n"/>
      <c r="K161" s="24" t="n"/>
      <c r="L161" s="24" t="inlineStr">
        <is>
          <t>DEV (localhost) · PostgreSQL 17.10 ใน Docker (ฐาน nestly_test) · Node.js 22.19 · Windows 11</t>
        </is>
      </c>
      <c r="M161" s="24" t="inlineStr">
        <is>
          <t>Vitest 4.1.11 (อัตโนมัติ)</t>
        </is>
      </c>
      <c r="N161" s="26" t="n">
        <v>46324.78275371322</v>
      </c>
      <c r="O161" s="24" t="inlineStr">
        <is>
          <t>ผลรายเคสอยู่ในไฟล์ JSON ของ Vitest (evidence-api/)</t>
        </is>
      </c>
      <c r="P161" s="24" t="inlineStr">
        <is>
          <t>สคริปต์: tests/integration/document-preview.test.ts
ชื่อเทสต์: document preview binary response explains that an invoice must exist when no data is supplied</t>
        </is>
      </c>
    </row>
    <row r="162" ht="60" customHeight="1">
      <c r="A162" s="23" t="inlineStr">
        <is>
          <t>TC_INT_DOC_005</t>
        </is>
      </c>
      <c r="B162" s="24" t="inlineStr">
        <is>
          <t>Document Preview</t>
        </is>
      </c>
      <c r="C162" s="24" t="inlineStr">
        <is>
          <t>ไม่มี session เรียกไม่ได้</t>
        </is>
      </c>
      <c r="D162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2" s="24" t="inlineStr">
        <is>
          <t>1. POST preview ไม่มี cookie</t>
        </is>
      </c>
      <c r="F162" s="24" t="inlineStr">
        <is>
          <t>ไม่มี cookie</t>
        </is>
      </c>
      <c r="G162" s="24" t="inlineStr">
        <is>
          <t>HTTP 401</t>
        </is>
      </c>
      <c r="H162" s="24" t="inlineStr">
        <is>
          <t>ผลตรงตามที่คาดหวัง — assertion ผ่านครบ (0.01 วินาที)</t>
        </is>
      </c>
      <c r="I162" s="25" t="inlineStr">
        <is>
          <t>Pass</t>
        </is>
      </c>
      <c r="J162" s="24" t="n"/>
      <c r="K162" s="24" t="n"/>
      <c r="L162" s="24" t="inlineStr">
        <is>
          <t>DEV (localhost) · PostgreSQL 17.10 ใน Docker (ฐาน nestly_test) · Node.js 22.19 · Windows 11</t>
        </is>
      </c>
      <c r="M162" s="24" t="inlineStr">
        <is>
          <t>Vitest 4.1.11 (อัตโนมัติ)</t>
        </is>
      </c>
      <c r="N162" s="26" t="n">
        <v>46324.7827541633</v>
      </c>
      <c r="O162" s="24" t="inlineStr">
        <is>
          <t>ผลรายเคสอยู่ในไฟล์ JSON ของ Vitest (evidence-api/)</t>
        </is>
      </c>
      <c r="P162" s="24" t="inlineStr">
        <is>
          <t>สคริปต์: tests/integration/document-preview.test.ts
ชื่อเทสต์: document preview binary response rejects a request with no session</t>
        </is>
      </c>
    </row>
    <row r="163" ht="60" customHeight="1">
      <c r="A163" s="23" t="inlineStr">
        <is>
          <t>TC_INT_CONFLICT_001</t>
        </is>
      </c>
      <c r="B163" s="24" t="inlineStr">
        <is>
          <t>Edit Conflicts</t>
        </is>
      </c>
      <c r="C163" s="24" t="inlineStr">
        <is>
          <t>แก้เรื่องแจ้งจากข้อมูลเก่าต้องถูกปฏิเสธ (Optimistic Locking)</t>
        </is>
      </c>
      <c r="D163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3" s="24" t="inlineStr">
        <is>
          <t>1. สร้างเรื่องแจ้ง
2. แก้โดยส่งเวลาแก้ไขเก่า</t>
        </is>
      </c>
      <c r="F163" s="24" t="inlineStr">
        <is>
          <t>title เดิม "ไฟห้องน้ำเสีย"</t>
        </is>
      </c>
      <c r="G163" s="24" t="inlineStr">
        <is>
          <t>HTTP 409 และหัวข้อยังเป็นค่าเดิม</t>
        </is>
      </c>
      <c r="H163" s="24" t="inlineStr">
        <is>
          <t>ผลตรงตามที่คาดหวัง — assertion ผ่านครบ (0.03 วินาที)</t>
        </is>
      </c>
      <c r="I163" s="25" t="inlineStr">
        <is>
          <t>Pass</t>
        </is>
      </c>
      <c r="J163" s="24" t="n"/>
      <c r="K163" s="24" t="n"/>
      <c r="L163" s="24" t="inlineStr">
        <is>
          <t>DEV (localhost) · PostgreSQL 17.10 ใน Docker (ฐาน nestly_test) · Node.js 22.19 · Windows 11</t>
        </is>
      </c>
      <c r="M163" s="24" t="inlineStr">
        <is>
          <t>Vitest 4.1.11 (อัตโนมัติ)</t>
        </is>
      </c>
      <c r="N163" s="26" t="n">
        <v>46324.78257899306</v>
      </c>
      <c r="O163" s="24" t="inlineStr">
        <is>
          <t>ผลรายเคสอยู่ในไฟล์ JSON ของ Vitest (evidence-api/)</t>
        </is>
      </c>
      <c r="P163" s="24" t="inlineStr">
        <is>
          <t>สคริปต์: tests/integration/edit-conflicts.test.ts
ชื่อเทสต์: edit conflict and state guards rejects a ticket edit that was based on a stale copy</t>
        </is>
      </c>
    </row>
    <row r="164" ht="60" customHeight="1">
      <c r="A164" s="23" t="inlineStr">
        <is>
          <t>TC_INT_CONFLICT_002</t>
        </is>
      </c>
      <c r="B164" s="24" t="inlineStr">
        <is>
          <t>Edit Conflicts</t>
        </is>
      </c>
      <c r="C164" s="24" t="inlineStr">
        <is>
          <t>แก้เรื่องแจ้งด้วยเวลาที่ตรงกันสำเร็จ</t>
        </is>
      </c>
      <c r="D164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4" s="24" t="inlineStr">
        <is>
          <t>1. แก้โดยส่ง expectedUpdatedAt ล่าสุด</t>
        </is>
      </c>
      <c r="F164" s="24" t="inlineStr">
        <is>
          <t>expectedUpdatedAt = ค่าปัจจุบัน</t>
        </is>
      </c>
      <c r="G164" s="24" t="inlineStr">
        <is>
          <t>แก้ไขสำเร็จ</t>
        </is>
      </c>
      <c r="H164" s="24" t="inlineStr">
        <is>
          <t>ผลตรงตามที่คาดหวัง — assertion ผ่านครบ (0.02 วินาที)</t>
        </is>
      </c>
      <c r="I164" s="25" t="inlineStr">
        <is>
          <t>Pass</t>
        </is>
      </c>
      <c r="J164" s="24" t="n"/>
      <c r="K164" s="24" t="n"/>
      <c r="L164" s="24" t="inlineStr">
        <is>
          <t>DEV (localhost) · PostgreSQL 17.10 ใน Docker (ฐาน nestly_test) · Node.js 22.19 · Windows 11</t>
        </is>
      </c>
      <c r="M164" s="24" t="inlineStr">
        <is>
          <t>Vitest 4.1.11 (อัตโนมัติ)</t>
        </is>
      </c>
      <c r="N164" s="26" t="n">
        <v>46324.78257931749</v>
      </c>
      <c r="O164" s="24" t="inlineStr">
        <is>
          <t>ผลรายเคสอยู่ในไฟล์ JSON ของ Vitest (evidence-api/)</t>
        </is>
      </c>
      <c r="P164" s="24" t="inlineStr">
        <is>
          <t>สคริปต์: tests/integration/edit-conflicts.test.ts
ชื่อเทสต์: edit conflict and state guards accepts the same edit when the expected time matches</t>
        </is>
      </c>
    </row>
    <row r="165" ht="60" customHeight="1">
      <c r="A165" s="23" t="inlineStr">
        <is>
          <t>TC_INT_CONFLICT_003</t>
        </is>
      </c>
      <c r="B165" s="24" t="inlineStr">
        <is>
          <t>Edit Conflicts</t>
        </is>
      </c>
      <c r="C165" s="24" t="inlineStr">
        <is>
          <t>เรื่องที่ปิดแล้วแก้เนื้อหาไม่ได้</t>
        </is>
      </c>
      <c r="D165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5" s="24" t="inlineStr">
        <is>
          <t>1. สร้างเรื่อง RESOLVED
2. แก้หัวข้อ/รายละเอียด/ความสำคัญ</t>
        </is>
      </c>
      <c r="F165" s="24" t="inlineStr">
        <is>
          <t>status = RESOLVED</t>
        </is>
      </c>
      <c r="G165" s="24" t="inlineStr">
        <is>
          <t>ทุกการแก้ได้ 409</t>
        </is>
      </c>
      <c r="H165" s="24" t="inlineStr">
        <is>
          <t>ผลตรงตามที่คาดหวัง — assertion ผ่านครบ (0.02 วินาที)</t>
        </is>
      </c>
      <c r="I165" s="25" t="inlineStr">
        <is>
          <t>Pass</t>
        </is>
      </c>
      <c r="J165" s="24" t="n"/>
      <c r="K165" s="24" t="n"/>
      <c r="L165" s="24" t="inlineStr">
        <is>
          <t>DEV (localhost) · PostgreSQL 17.10 ใน Docker (ฐาน nestly_test) · Node.js 22.19 · Windows 11</t>
        </is>
      </c>
      <c r="M165" s="24" t="inlineStr">
        <is>
          <t>Vitest 4.1.11 (อัตโนมัติ)</t>
        </is>
      </c>
      <c r="N165" s="26" t="n">
        <v>46324.78257952065</v>
      </c>
      <c r="O165" s="24" t="inlineStr">
        <is>
          <t>ผลรายเคสอยู่ในไฟล์ JSON ของ Vitest (evidence-api/)</t>
        </is>
      </c>
      <c r="P165" s="24" t="inlineStr">
        <is>
          <t>สคริปต์: tests/integration/edit-conflicts.test.ts
ชื่อเทสต์: edit conflict and state guards refuses to change the content of a closed ticket</t>
        </is>
      </c>
    </row>
    <row r="166" ht="60" customHeight="1">
      <c r="A166" s="23" t="inlineStr">
        <is>
          <t>TC_INT_CONFLICT_004</t>
        </is>
      </c>
      <c r="B166" s="24" t="inlineStr">
        <is>
          <t>Edit Conflicts</t>
        </is>
      </c>
      <c r="C166" s="24" t="inlineStr">
        <is>
          <t>ข้ามขั้นสถานะที่ไม่อนุญาตไม่ได้ (State Transition)</t>
        </is>
      </c>
      <c r="D166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6" s="24" t="inlineStr">
        <is>
          <t>1. OPEN → RESOLVED
2. OPEN → ACKNOWLEDGED</t>
        </is>
      </c>
      <c r="F166" s="24" t="inlineStr">
        <is>
          <t>OPEN</t>
        </is>
      </c>
      <c r="G166" s="24" t="inlineStr">
        <is>
          <t>ข้ามขั้นได้ 409 · ไป ACKNOWLEDGED สำเร็จ</t>
        </is>
      </c>
      <c r="H166" s="24" t="inlineStr">
        <is>
          <t>ผลตรงตามที่คาดหวัง — assertion ผ่านครบ (0.02 วินาที)</t>
        </is>
      </c>
      <c r="I166" s="25" t="inlineStr">
        <is>
          <t>Pass</t>
        </is>
      </c>
      <c r="J166" s="24" t="n"/>
      <c r="K166" s="24" t="n"/>
      <c r="L166" s="24" t="inlineStr">
        <is>
          <t>DEV (localhost) · PostgreSQL 17.10 ใน Docker (ฐาน nestly_test) · Node.js 22.19 · Windows 11</t>
        </is>
      </c>
      <c r="M166" s="24" t="inlineStr">
        <is>
          <t>Vitest 4.1.11 (อัตโนมัติ)</t>
        </is>
      </c>
      <c r="N166" s="26" t="n">
        <v>46324.78257980309</v>
      </c>
      <c r="O166" s="24" t="inlineStr">
        <is>
          <t>ผลรายเคสอยู่ในไฟล์ JSON ของ Vitest (evidence-api/)</t>
        </is>
      </c>
      <c r="P166" s="24" t="inlineStr">
        <is>
          <t>สคริปต์: tests/integration/edit-conflicts.test.ts
ชื่อเทสต์: edit conflict and state guards blocks a status jump that the transition table does not allow</t>
        </is>
      </c>
    </row>
    <row r="167" ht="60" customHeight="1">
      <c r="A167" s="23" t="inlineStr">
        <is>
          <t>TC_INT_CONFLICT_005</t>
        </is>
      </c>
      <c r="B167" s="24" t="inlineStr">
        <is>
          <t>Edit Conflicts</t>
        </is>
      </c>
      <c r="C167" s="24" t="inlineStr">
        <is>
          <t>บันทึกเหตุการณ์ทั้งการเปลี่ยนสถานะและความสำคัญ</t>
        </is>
      </c>
      <c r="D16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7" s="24" t="inlineStr">
        <is>
          <t>1. แก้สถานะและความสำคัญพร้อมกัน
2. อ่าน TicketEvent</t>
        </is>
      </c>
      <c r="F167" s="24" t="inlineStr">
        <is>
          <t>status = ACKNOWLEDGED · priority เปลี่ยน</t>
        </is>
      </c>
      <c r="G167" s="24" t="inlineStr">
        <is>
          <t>มีเหตุการณ์ทั้งสองแบบ</t>
        </is>
      </c>
      <c r="H167" s="24" t="inlineStr">
        <is>
          <t>ผลตรงตามที่คาดหวัง — assertion ผ่านครบ (0.02 วินาที)</t>
        </is>
      </c>
      <c r="I167" s="25" t="inlineStr">
        <is>
          <t>Pass</t>
        </is>
      </c>
      <c r="J167" s="24" t="n"/>
      <c r="K167" s="24" t="n"/>
      <c r="L167" s="24" t="inlineStr">
        <is>
          <t>DEV (localhost) · PostgreSQL 17.10 ใน Docker (ฐาน nestly_test) · Node.js 22.19 · Windows 11</t>
        </is>
      </c>
      <c r="M167" s="24" t="inlineStr">
        <is>
          <t>Vitest 4.1.11 (อัตโนมัติ)</t>
        </is>
      </c>
      <c r="N167" s="26" t="n">
        <v>46324.78258004145</v>
      </c>
      <c r="O167" s="24" t="inlineStr">
        <is>
          <t>ผลรายเคสอยู่ในไฟล์ JSON ของ Vitest (evidence-api/)</t>
        </is>
      </c>
      <c r="P167" s="24" t="inlineStr">
        <is>
          <t>สคริปต์: tests/integration/edit-conflicts.test.ts
ชื่อเทสต์: edit conflict and state guards records an event for both a status change and a priority change</t>
        </is>
      </c>
    </row>
    <row r="168" ht="60" customHeight="1">
      <c r="A168" s="23" t="inlineStr">
        <is>
          <t>TC_INT_CONFLICT_006</t>
        </is>
      </c>
      <c r="B168" s="24" t="inlineStr">
        <is>
          <t>Edit Conflicts</t>
        </is>
      </c>
      <c r="C168" s="24" t="inlineStr">
        <is>
          <t>ค่าไม่เปลี่ยนจริงไม่บันทึกเหตุการณ์</t>
        </is>
      </c>
      <c r="D16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8" s="24" t="inlineStr">
        <is>
          <t>1. ส่งค่าเดิม
2. อ่าน TicketEvent</t>
        </is>
      </c>
      <c r="F168" s="24" t="inlineStr">
        <is>
          <t>ค่าเดิม</t>
        </is>
      </c>
      <c r="G168" s="24" t="inlineStr">
        <is>
          <t>ไม่มีเหตุการณ์ใหม่ (0)</t>
        </is>
      </c>
      <c r="H168" s="24" t="inlineStr">
        <is>
          <t>ผลตรงตามที่คาดหวัง — assertion ผ่านครบ (0.02 วินาที)</t>
        </is>
      </c>
      <c r="I168" s="25" t="inlineStr">
        <is>
          <t>Pass</t>
        </is>
      </c>
      <c r="J168" s="24" t="n"/>
      <c r="K168" s="24" t="n"/>
      <c r="L168" s="24" t="inlineStr">
        <is>
          <t>DEV (localhost) · PostgreSQL 17.10 ใน Docker (ฐาน nestly_test) · Node.js 22.19 · Windows 11</t>
        </is>
      </c>
      <c r="M168" s="24" t="inlineStr">
        <is>
          <t>Vitest 4.1.11 (อัตโนมัติ)</t>
        </is>
      </c>
      <c r="N168" s="26" t="n">
        <v>46324.78258022069</v>
      </c>
      <c r="O168" s="24" t="inlineStr">
        <is>
          <t>ผลรายเคสอยู่ในไฟล์ JSON ของ Vitest (evidence-api/)</t>
        </is>
      </c>
      <c r="P168" s="24" t="inlineStr">
        <is>
          <t>สคริปต์: tests/integration/edit-conflicts.test.ts
ชื่อเทสต์: edit conflict and state guards does not record an event when the value does not actually change</t>
        </is>
      </c>
    </row>
    <row r="169" ht="60" customHeight="1">
      <c r="A169" s="23" t="inlineStr">
        <is>
          <t>TC_INT_CONFLICT_007</t>
        </is>
      </c>
      <c r="B169" s="24" t="inlineStr">
        <is>
          <t>Edit Conflicts</t>
        </is>
      </c>
      <c r="C169" s="24" t="inlineStr">
        <is>
          <t>แก้ประกาศจากข้อมูลเก่าต้องถูกปฏิเสธ</t>
        </is>
      </c>
      <c r="D16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69" s="24" t="inlineStr">
        <is>
          <t>1. สร้างประกาศ
2. แก้ด้วยเวลาเก่า
3. แก้ด้วยเวลาปัจจุบัน</t>
        </is>
      </c>
      <c r="F169" s="24" t="inlineStr">
        <is>
          <t>status = PUBLISHED</t>
        </is>
      </c>
      <c r="G169" s="24" t="inlineStr">
        <is>
          <t>เวลาเก่าได้ 409 · เวลาปัจจุบันสำเร็จ</t>
        </is>
      </c>
      <c r="H169" s="24" t="inlineStr">
        <is>
          <t>ผลตรงตามที่คาดหวัง — assertion ผ่านครบ (0.02 วินาที)</t>
        </is>
      </c>
      <c r="I169" s="25" t="inlineStr">
        <is>
          <t>Pass</t>
        </is>
      </c>
      <c r="J169" s="24" t="n"/>
      <c r="K169" s="24" t="n"/>
      <c r="L169" s="24" t="inlineStr">
        <is>
          <t>DEV (localhost) · PostgreSQL 17.10 ใน Docker (ฐาน nestly_test) · Node.js 22.19 · Windows 11</t>
        </is>
      </c>
      <c r="M169" s="24" t="inlineStr">
        <is>
          <t>Vitest 4.1.11 (อัตโนมัติ)</t>
        </is>
      </c>
      <c r="N169" s="26" t="n">
        <v>46324.78258040382</v>
      </c>
      <c r="O169" s="24" t="inlineStr">
        <is>
          <t>ผลรายเคสอยู่ในไฟล์ JSON ของ Vitest (evidence-api/)</t>
        </is>
      </c>
      <c r="P169" s="24" t="inlineStr">
        <is>
          <t>สคริปต์: tests/integration/edit-conflicts.test.ts
ชื่อเทสต์: edit conflict and state guards rejects an announcement edit that was based on a stale copy</t>
        </is>
      </c>
    </row>
    <row r="170" ht="60" customHeight="1">
      <c r="A170" s="23" t="inlineStr">
        <is>
          <t>TC_INT_CONFLICT_008</t>
        </is>
      </c>
      <c r="B170" s="24" t="inlineStr">
        <is>
          <t>Edit Conflicts</t>
        </is>
      </c>
      <c r="C170" s="24" t="inlineStr">
        <is>
          <t>ประกาศเลือกอาคาร/ชั้น/ห้องของหอคนอื่นไม่ได้ (IDOR)</t>
        </is>
      </c>
      <c r="D170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70" s="24" t="inlineStr">
        <is>
          <t>1. สร้างประกาศถึงอาคาร ชั้น และห้องของหอ B</t>
        </is>
      </c>
      <c r="F170" s="24" t="inlineStr">
        <is>
          <t>buildingIds/floorIds/roomIds ของหอ B</t>
        </is>
      </c>
      <c r="G170" s="24" t="inlineStr">
        <is>
          <t>ทุกกรณีได้ 400</t>
        </is>
      </c>
      <c r="H170" s="24" t="inlineStr">
        <is>
          <t>ผลตรงตามที่คาดหวัง — assertion ผ่านครบ (0.03 วินาที)</t>
        </is>
      </c>
      <c r="I170" s="25" t="inlineStr">
        <is>
          <t>Pass</t>
        </is>
      </c>
      <c r="J170" s="24" t="n"/>
      <c r="K170" s="24" t="n"/>
      <c r="L170" s="24" t="inlineStr">
        <is>
          <t>DEV (localhost) · PostgreSQL 17.10 ใน Docker (ฐาน nestly_test) · Node.js 22.19 · Windows 11</t>
        </is>
      </c>
      <c r="M170" s="24" t="inlineStr">
        <is>
          <t>Vitest 4.1.11 (อัตโนมัติ)</t>
        </is>
      </c>
      <c r="N170" s="26" t="n">
        <v>46324.78258062099</v>
      </c>
      <c r="O170" s="24" t="inlineStr">
        <is>
          <t>ผลรายเคสอยู่ในไฟล์ JSON ของ Vitest (evidence-api/)</t>
        </is>
      </c>
      <c r="P170" s="24" t="inlineStr">
        <is>
          <t>สคริปต์: tests/integration/edit-conflicts.test.ts
ชื่อเทสต์: edit conflict and state guards refuses announcement targets that belong to another property</t>
        </is>
      </c>
    </row>
    <row r="171" ht="60" customHeight="1">
      <c r="A171" s="23" t="inlineStr">
        <is>
          <t>TC_INT_CONFLICT_009</t>
        </is>
      </c>
      <c r="B171" s="24" t="inlineStr">
        <is>
          <t>Edit Conflicts</t>
        </is>
      </c>
      <c r="C171" s="24" t="inlineStr">
        <is>
          <t>เลือกกลุ่มเป้าหมายแบบเจาะจงต้องระบุเป้าหมาย</t>
        </is>
      </c>
      <c r="D17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71" s="24" t="inlineStr">
        <is>
          <t>1. สร้างประกาศ audience BUILDING/FLOOR/ROOM โดยไม่ระบุเป้าหมาย</t>
        </is>
      </c>
      <c r="F171" s="24" t="inlineStr">
        <is>
          <t>roomIds = []</t>
        </is>
      </c>
      <c r="G171" s="24" t="inlineStr">
        <is>
          <t>ทุกกรณีได้ 400</t>
        </is>
      </c>
      <c r="H171" s="24" t="inlineStr">
        <is>
          <t>ผลตรงตามที่คาดหวัง — assertion ผ่านครบ (0.00 วินาที)</t>
        </is>
      </c>
      <c r="I171" s="25" t="inlineStr">
        <is>
          <t>Pass</t>
        </is>
      </c>
      <c r="J171" s="24" t="n"/>
      <c r="K171" s="24" t="n"/>
      <c r="L171" s="24" t="inlineStr">
        <is>
          <t>DEV (localhost) · PostgreSQL 17.10 ใน Docker (ฐาน nestly_test) · Node.js 22.19 · Windows 11</t>
        </is>
      </c>
      <c r="M171" s="24" t="inlineStr">
        <is>
          <t>Vitest 4.1.11 (อัตโนมัติ)</t>
        </is>
      </c>
      <c r="N171" s="26" t="n">
        <v>46324.78258094561</v>
      </c>
      <c r="O171" s="24" t="inlineStr">
        <is>
          <t>ผลรายเคสอยู่ในไฟล์ JSON ของ Vitest (evidence-api/)</t>
        </is>
      </c>
      <c r="P171" s="24" t="inlineStr">
        <is>
          <t>สคริปต์: tests/integration/edit-conflicts.test.ts
ชื่อเทสต์: edit conflict and state guards refuses a narrowed audience with no target chosen</t>
        </is>
      </c>
    </row>
    <row r="172" ht="60" customHeight="1">
      <c r="A172" s="23" t="inlineStr">
        <is>
          <t>TC_INT_CONFLICT_010</t>
        </is>
      </c>
      <c r="B172" s="24" t="inlineStr">
        <is>
          <t>Edit Conflicts</t>
        </is>
      </c>
      <c r="C172" s="24" t="inlineStr">
        <is>
          <t>แก้ประกาศของหอคนอื่นไม่ได้</t>
        </is>
      </c>
      <c r="D172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72" s="24" t="inlineStr">
        <is>
          <t>1. หอ B แก้ประกาศของหอ A</t>
        </is>
      </c>
      <c r="F172" s="24" t="inlineStr">
        <is>
          <t>announcementId ของหอ A</t>
        </is>
      </c>
      <c r="G172" s="24" t="inlineStr">
        <is>
          <t>ถูกปฏิเสธ (ApiError)</t>
        </is>
      </c>
      <c r="H172" s="24" t="inlineStr">
        <is>
          <t>ผลตรงตามที่คาดหวัง — assertion ผ่านครบ (0.01 วินาที)</t>
        </is>
      </c>
      <c r="I172" s="25" t="inlineStr">
        <is>
          <t>Pass</t>
        </is>
      </c>
      <c r="J172" s="24" t="n"/>
      <c r="K172" s="24" t="n"/>
      <c r="L172" s="24" t="inlineStr">
        <is>
          <t>DEV (localhost) · PostgreSQL 17.10 ใน Docker (ฐาน nestly_test) · Node.js 22.19 · Windows 11</t>
        </is>
      </c>
      <c r="M172" s="24" t="inlineStr">
        <is>
          <t>Vitest 4.1.11 (อัตโนมัติ)</t>
        </is>
      </c>
      <c r="N172" s="26" t="n">
        <v>46324.78258095881</v>
      </c>
      <c r="O172" s="24" t="inlineStr">
        <is>
          <t>ผลรายเคสอยู่ในไฟล์ JSON ของ Vitest (evidence-api/)</t>
        </is>
      </c>
      <c r="P172" s="24" t="inlineStr">
        <is>
          <t>สคริปต์: tests/integration/edit-conflicts.test.ts
ชื่อเทสต์: edit conflict and state guards cannot reach an announcement that belongs to another property</t>
        </is>
      </c>
    </row>
    <row r="173" ht="60" customHeight="1">
      <c r="A173" s="23" t="inlineStr">
        <is>
          <t>TC_INT_UPLOAD_001</t>
        </is>
      </c>
      <c r="B173" s="24" t="inlineStr">
        <is>
          <t>File Upload</t>
        </is>
      </c>
      <c r="C173" s="24" t="inlineStr">
        <is>
          <t>รับรูปพัสดุ PNG จริง และปฏิเสธไฟล์ปลอมนามสกุล</t>
        </is>
      </c>
      <c r="D173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3" s="24" t="inlineStr">
        <is>
          <t>1. อัปโหลด PNG จริงผ่าน route พัสดุ
2. อัปโหลดไฟล์ข้อความที่ตั้งชื่อ .png</t>
        </is>
      </c>
      <c r="F173" s="24" t="inlineStr">
        <is>
          <t>parcel.png (ไบต์ PNG) · fake.png (ข้อความ)</t>
        </is>
      </c>
      <c r="G173" s="24" t="inlineStr">
        <is>
          <t>PNG จริง 201 ชื่อไฟล์บนที่เก็บเป็น UUID.png · ไฟล์ปลอม 415</t>
        </is>
      </c>
      <c r="H173" s="24" t="inlineStr">
        <is>
          <t>ผลตรงตามที่คาดหวัง — assertion ผ่านครบ (0.10 วินาที)</t>
        </is>
      </c>
      <c r="I173" s="25" t="inlineStr">
        <is>
          <t>Pass</t>
        </is>
      </c>
      <c r="J173" s="24" t="n"/>
      <c r="K173" s="24" t="n"/>
      <c r="L173" s="24" t="inlineStr">
        <is>
          <t>DEV (localhost) · PostgreSQL 17.10 ใน Docker (ฐาน nestly_test) · Node.js 22.19 · Windows 11</t>
        </is>
      </c>
      <c r="M173" s="24" t="inlineStr">
        <is>
          <t>Vitest 4.1.11 (อัตโนมัติ)</t>
        </is>
      </c>
      <c r="N173" s="26" t="n">
        <v>46324.78252657408</v>
      </c>
      <c r="O173" s="24" t="inlineStr">
        <is>
          <t>ผลรายเคสอยู่ในไฟล์ JSON ของ Vitest (evidence-api/)</t>
        </is>
      </c>
      <c r="P173" s="24" t="inlineStr">
        <is>
          <t>สคริปต์: tests/integration/file-uploads.test.ts
ชื่อเทสต์: file upload route integration รับรูปพัสดุที่เป็น PNG จริง และปฏิเสธไฟล์ที่ปลอมนามสกุลมา</t>
        </is>
      </c>
    </row>
    <row r="174" ht="60" customHeight="1">
      <c r="A174" s="23" t="inlineStr">
        <is>
          <t>TC_INT_UPLOAD_002</t>
        </is>
      </c>
      <c r="B174" s="24" t="inlineStr">
        <is>
          <t>File Upload</t>
        </is>
      </c>
      <c r="C174" s="24" t="inlineStr">
        <is>
          <t>route ที่รับเฉพาะรูปต้องไม่รับ PDF</t>
        </is>
      </c>
      <c r="D174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4" s="24" t="inlineStr">
        <is>
          <t>1. อัปโหลด PDF ผ่าน route พัสดุ</t>
        </is>
      </c>
      <c r="F174" s="24" t="inlineStr">
        <is>
          <t>doc.pdf (%PDF)</t>
        </is>
      </c>
      <c r="G174" s="24" t="inlineStr">
        <is>
          <t>HTTP 415 และไม่มีพัสดุถูกบันทึก</t>
        </is>
      </c>
      <c r="H174" s="24" t="inlineStr">
        <is>
          <t>ผลตรงตามที่คาดหวัง — assertion ผ่านครบ (0.03 วินาที)</t>
        </is>
      </c>
      <c r="I174" s="25" t="inlineStr">
        <is>
          <t>Pass</t>
        </is>
      </c>
      <c r="J174" s="24" t="n"/>
      <c r="K174" s="24" t="n"/>
      <c r="L174" s="24" t="inlineStr">
        <is>
          <t>DEV (localhost) · PostgreSQL 17.10 ใน Docker (ฐาน nestly_test) · Node.js 22.19 · Windows 11</t>
        </is>
      </c>
      <c r="M174" s="24" t="inlineStr">
        <is>
          <t>Vitest 4.1.11 (อัตโนมัติ)</t>
        </is>
      </c>
      <c r="N174" s="26" t="n">
        <v>46324.78252777403</v>
      </c>
      <c r="O174" s="24" t="inlineStr">
        <is>
          <t>ผลรายเคสอยู่ในไฟล์ JSON ของ Vitest (evidence-api/)</t>
        </is>
      </c>
      <c r="P174" s="24" t="inlineStr">
        <is>
          <t>สคริปต์: tests/integration/file-uploads.test.ts
ชื่อเทสต์: file upload route integration ปฏิเสธ PDF ที่ถูกต้องในเส้นทางที่รับเฉพาะรูปภาพ</t>
        </is>
      </c>
    </row>
    <row r="175" ht="60" customHeight="1">
      <c r="A175" s="23" t="inlineStr">
        <is>
          <t>TC_INT_UPLOAD_003</t>
        </is>
      </c>
      <c r="B175" s="24" t="inlineStr">
        <is>
          <t>File Upload</t>
        </is>
      </c>
      <c r="C175" s="24" t="inlineStr">
        <is>
          <t>อัปโหลดจากเว็บอื่นต้องถูกปฏิเสธก่อนอ่านไฟล์ (CSRF)</t>
        </is>
      </c>
      <c r="D175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5" s="24" t="inlineStr">
        <is>
          <t>1. อัปโหลดโดย origin ภายนอก</t>
        </is>
      </c>
      <c r="F175" s="24" t="inlineStr">
        <is>
          <t>origin = http://evil.test</t>
        </is>
      </c>
      <c r="G175" s="24" t="inlineStr">
        <is>
          <t>HTTP 403</t>
        </is>
      </c>
      <c r="H175" s="24" t="inlineStr">
        <is>
          <t>ผลตรงตามที่คาดหวัง — assertion ผ่านครบ (0.00 วินาที)</t>
        </is>
      </c>
      <c r="I175" s="25" t="inlineStr">
        <is>
          <t>Pass</t>
        </is>
      </c>
      <c r="J175" s="24" t="n"/>
      <c r="K175" s="24" t="n"/>
      <c r="L175" s="24" t="inlineStr">
        <is>
          <t>DEV (localhost) · PostgreSQL 17.10 ใน Docker (ฐาน nestly_test) · Node.js 22.19 · Windows 11</t>
        </is>
      </c>
      <c r="M175" s="24" t="inlineStr">
        <is>
          <t>Vitest 4.1.11 (อัตโนมัติ)</t>
        </is>
      </c>
      <c r="N175" s="26" t="n">
        <v>46324.78252809423</v>
      </c>
      <c r="O175" s="24" t="inlineStr">
        <is>
          <t>ผลรายเคสอยู่ในไฟล์ JSON ของ Vitest (evidence-api/)</t>
        </is>
      </c>
      <c r="P175" s="24" t="inlineStr">
        <is>
          <t>สคริปต์: tests/integration/file-uploads.test.ts
ชื่อเทสต์: file upload route integration ปฏิเสธการอัปโหลดข้ามโดเมนก่อนอ่านไฟล์</t>
        </is>
      </c>
    </row>
    <row r="176" ht="60" customHeight="1">
      <c r="A176" s="23" t="inlineStr">
        <is>
          <t>TC_INT_UPLOAD_004</t>
        </is>
      </c>
      <c r="B176" s="24" t="inlineStr">
        <is>
          <t>File Upload</t>
        </is>
      </c>
      <c r="C176" s="24" t="inlineStr">
        <is>
          <t>รับสลิปเป็น PDF และบันทึกชนิดไฟล์ตามไบต์จริง</t>
        </is>
      </c>
      <c r="D176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6" s="24" t="inlineStr">
        <is>
          <t>1. ผู้เช่าส่งสลิป PDF
2. อ่านข้อมูลสลิปและไฟล์ในที่เก็บ</t>
        </is>
      </c>
      <c r="F176" s="24" t="inlineStr">
        <is>
          <t>slip.pdf</t>
        </is>
      </c>
      <c r="G176" s="24" t="inlineStr">
        <is>
          <t>HTTP 201 · slipMime = application/pdf · ไฟล์ .pdf มีขนาด &gt; 0</t>
        </is>
      </c>
      <c r="H176" s="24" t="inlineStr">
        <is>
          <t>ผลตรงตามที่คาดหวัง — assertion ผ่านครบ (0.04 วินาที)</t>
        </is>
      </c>
      <c r="I176" s="25" t="inlineStr">
        <is>
          <t>Pass</t>
        </is>
      </c>
      <c r="J176" s="24" t="n"/>
      <c r="K176" s="24" t="n"/>
      <c r="L176" s="24" t="inlineStr">
        <is>
          <t>DEV (localhost) · PostgreSQL 17.10 ใน Docker (ฐาน nestly_test) · Node.js 22.19 · Windows 11</t>
        </is>
      </c>
      <c r="M176" s="24" t="inlineStr">
        <is>
          <t>Vitest 4.1.11 (อัตโนมัติ)</t>
        </is>
      </c>
      <c r="N176" s="26" t="n">
        <v>46324.78252812155</v>
      </c>
      <c r="O176" s="24" t="inlineStr">
        <is>
          <t>ผลรายเคสอยู่ในไฟล์ JSON ของ Vitest (evidence-api/)</t>
        </is>
      </c>
      <c r="P176" s="24" t="inlineStr">
        <is>
          <t>สคริปต์: tests/integration/file-uploads.test.ts
ชื่อเทสต์: file upload route integration รับสลิปเป็น PDF และบันทึกชนิดไฟล์ตามไบต์จริง</t>
        </is>
      </c>
    </row>
    <row r="177" ht="60" customHeight="1">
      <c r="A177" s="23" t="inlineStr">
        <is>
          <t>TC_INT_UPLOAD_005</t>
        </is>
      </c>
      <c r="B177" s="24" t="inlineStr">
        <is>
          <t>File Upload</t>
        </is>
      </c>
      <c r="C177" s="24" t="inlineStr">
        <is>
          <t>จำกัดขนาดไฟล์ 5 MB (Boundary)</t>
        </is>
      </c>
      <c r="D177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7" s="24" t="inlineStr">
        <is>
          <t>1. อัปโหลด PNG ขนาด 5 MB + 1 ไบต์</t>
        </is>
      </c>
      <c r="F177" s="24" t="inlineStr">
        <is>
          <t>huge.png = 5,242,881 ไบต์</t>
        </is>
      </c>
      <c r="G177" s="24" t="inlineStr">
        <is>
          <t>HTTP 413</t>
        </is>
      </c>
      <c r="H177" s="24" t="inlineStr">
        <is>
          <t>ผลตรงตามที่คาดหวัง — assertion ผ่านครบ (0.03 วินาที)</t>
        </is>
      </c>
      <c r="I177" s="25" t="inlineStr">
        <is>
          <t>Pass</t>
        </is>
      </c>
      <c r="J177" s="24" t="n"/>
      <c r="K177" s="24" t="n"/>
      <c r="L177" s="24" t="inlineStr">
        <is>
          <t>DEV (localhost) · PostgreSQL 17.10 ใน Docker (ฐาน nestly_test) · Node.js 22.19 · Windows 11</t>
        </is>
      </c>
      <c r="M177" s="24" t="inlineStr">
        <is>
          <t>Vitest 4.1.11 (อัตโนมัติ)</t>
        </is>
      </c>
      <c r="N177" s="26" t="n">
        <v>46324.78252863359</v>
      </c>
      <c r="O177" s="24" t="inlineStr">
        <is>
          <t>ผลรายเคสอยู่ในไฟล์ JSON ของ Vitest (evidence-api/)</t>
        </is>
      </c>
      <c r="P177" s="24" t="inlineStr">
        <is>
          <t>สคริปต์: tests/integration/file-uploads.test.ts
ชื่อเทสต์: file upload route integration ปฏิเสธไฟล์ที่ใหญ่เกิน 5 MB</t>
        </is>
      </c>
    </row>
    <row r="178" ht="60" customHeight="1">
      <c r="A178" s="23" t="inlineStr">
        <is>
          <t>TC_INT_UPLOAD_006</t>
        </is>
      </c>
      <c r="B178" s="24" t="inlineStr">
        <is>
          <t>File Upload</t>
        </is>
      </c>
      <c r="C178" s="24" t="inlineStr">
        <is>
          <t>ไฟล์แนบเรื่องแจ้งตั้งชื่อบนที่เก็บโดยระบบ (กัน Path Traversal)</t>
        </is>
      </c>
      <c r="D178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8" s="24" t="inlineStr">
        <is>
          <t>1. แนบ JPG กับเรื่องแจ้ง</t>
        </is>
      </c>
      <c r="F178" s="24" t="inlineStr">
        <is>
          <t>photo.jpg</t>
        </is>
      </c>
      <c r="G178" s="24" t="inlineStr">
        <is>
          <t>HTTP 201 · key = tickets/&lt;หอ&gt;/&lt;เรื่อง&gt;/&lt;UUID&gt;.jpg ไม่มี .. · MIME image/jpeg</t>
        </is>
      </c>
      <c r="H178" s="24" t="inlineStr">
        <is>
          <t>ผลตรงตามที่คาดหวัง — assertion ผ่านครบ (0.04 วินาที)</t>
        </is>
      </c>
      <c r="I178" s="25" t="inlineStr">
        <is>
          <t>Pass</t>
        </is>
      </c>
      <c r="J178" s="24" t="n"/>
      <c r="K178" s="24" t="n"/>
      <c r="L178" s="24" t="inlineStr">
        <is>
          <t>DEV (localhost) · PostgreSQL 17.10 ใน Docker (ฐาน nestly_test) · Node.js 22.19 · Windows 11</t>
        </is>
      </c>
      <c r="M178" s="24" t="inlineStr">
        <is>
          <t>Vitest 4.1.11 (อัตโนมัติ)</t>
        </is>
      </c>
      <c r="N178" s="26" t="n">
        <v>46324.78252895534</v>
      </c>
      <c r="O178" s="24" t="inlineStr">
        <is>
          <t>ผลรายเคสอยู่ในไฟล์ JSON ของ Vitest (evidence-api/)</t>
        </is>
      </c>
      <c r="P178" s="24" t="inlineStr">
        <is>
          <t>สคริปต์: tests/integration/file-uploads.test.ts
ชื่อเทสต์: file upload route integration รับไฟล์แนบของเรื่องแจ้งและตั้งชื่อไฟล์บนที่เก็บเอง</t>
        </is>
      </c>
    </row>
    <row r="179" ht="60" customHeight="1">
      <c r="A179" s="23" t="inlineStr">
        <is>
          <t>TC_INT_UPLOAD_007</t>
        </is>
      </c>
      <c r="B179" s="24" t="inlineStr">
        <is>
          <t>File Upload</t>
        </is>
      </c>
      <c r="C179" s="24" t="inlineStr">
        <is>
          <t>รับ WebP ในแชท และล้างชื่อไฟล์ที่มีแท็ก HTML (XSS)</t>
        </is>
      </c>
      <c r="D179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79" s="24" t="inlineStr">
        <is>
          <t>1. ส่งแชทแนบ WebP ชื่อไฟล์มี &lt; &gt;</t>
        </is>
      </c>
      <c r="F179" s="24" t="inlineStr">
        <is>
          <t>ชื่อไฟล์มี "&lt;" และ "&gt;"</t>
        </is>
      </c>
      <c r="G179" s="24" t="inlineStr">
        <is>
          <t>HTTP 201 · MIME image/webp · ชื่อไฟล์ที่เก็บไม่มี &lt; &gt;</t>
        </is>
      </c>
      <c r="H179" s="24" t="inlineStr">
        <is>
          <t>ผลตรงตามที่คาดหวัง — assertion ผ่านครบ (0.06 วินาที)</t>
        </is>
      </c>
      <c r="I179" s="25" t="inlineStr">
        <is>
          <t>Pass</t>
        </is>
      </c>
      <c r="J179" s="24" t="n"/>
      <c r="K179" s="24" t="n"/>
      <c r="L179" s="24" t="inlineStr">
        <is>
          <t>DEV (localhost) · PostgreSQL 17.10 ใน Docker (ฐาน nestly_test) · Node.js 22.19 · Windows 11</t>
        </is>
      </c>
      <c r="M179" s="24" t="inlineStr">
        <is>
          <t>Vitest 4.1.11 (อัตโนมัติ)</t>
        </is>
      </c>
      <c r="N179" s="26" t="n">
        <v>46324.78252940462</v>
      </c>
      <c r="O179" s="24" t="inlineStr">
        <is>
          <t>ผลรายเคสอยู่ในไฟล์ JSON ของ Vitest (evidence-api/)</t>
        </is>
      </c>
      <c r="P179" s="24" t="inlineStr">
        <is>
          <t>สคริปต์: tests/integration/file-uploads.test.ts
ชื่อเทสต์: file upload route integration รับไฟล์แนบในแชทเป็น WebP และล้างชื่อไฟล์ที่ผู้ใช้ส่งมา</t>
        </is>
      </c>
    </row>
    <row r="180" ht="60" customHeight="1">
      <c r="A180" s="23" t="inlineStr">
        <is>
          <t>TC_INT_UPLOAD_008</t>
        </is>
      </c>
      <c r="B180" s="24" t="inlineStr">
        <is>
          <t>File Upload</t>
        </is>
      </c>
      <c r="C180" s="24" t="inlineStr">
        <is>
          <t>ไฟล์แนบชนิดไม่รองรับ ต้องไม่บันทึกข้อความแชทด้วย (Atomic)</t>
        </is>
      </c>
      <c r="D180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0" s="24" t="inlineStr">
        <is>
          <t>1. ส่งแชทพร้อมไฟล์ชนิดไม่รองรับ
2. นับข้อความ</t>
        </is>
      </c>
      <c r="F180" s="24" t="inlineStr">
        <is>
          <t>ไฟล์ไม่อยู่ใน allowlist</t>
        </is>
      </c>
      <c r="G180" s="24" t="inlineStr">
        <is>
          <t>HTTP 415 · จำนวนข้อความไม่เปลี่ยน</t>
        </is>
      </c>
      <c r="H180" s="24" t="inlineStr">
        <is>
          <t>ผลตรงตามที่คาดหวัง — assertion ผ่านครบ (0.03 วินาที)</t>
        </is>
      </c>
      <c r="I180" s="25" t="inlineStr">
        <is>
          <t>Pass</t>
        </is>
      </c>
      <c r="J180" s="24" t="n"/>
      <c r="K180" s="24" t="n"/>
      <c r="L180" s="24" t="inlineStr">
        <is>
          <t>DEV (localhost) · PostgreSQL 17.10 ใน Docker (ฐาน nestly_test) · Node.js 22.19 · Windows 11</t>
        </is>
      </c>
      <c r="M180" s="24" t="inlineStr">
        <is>
          <t>Vitest 4.1.11 (อัตโนมัติ)</t>
        </is>
      </c>
      <c r="N180" s="26" t="n">
        <v>46324.78253006249</v>
      </c>
      <c r="O180" s="24" t="inlineStr">
        <is>
          <t>ผลรายเคสอยู่ในไฟล์ JSON ของ Vitest (evidence-api/)</t>
        </is>
      </c>
      <c r="P180" s="24" t="inlineStr">
        <is>
          <t>สคริปต์: tests/integration/file-uploads.test.ts
ชื่อเทสต์: file upload route integration ไม่บันทึกข้อความเมื่อไฟล์แนบในแชทเป็นชนิดที่ไม่รองรับ</t>
        </is>
      </c>
    </row>
    <row r="181" ht="60" customHeight="1">
      <c r="A181" s="23" t="inlineStr">
        <is>
          <t>TC_INT_LEASE_001</t>
        </is>
      </c>
      <c r="B181" s="24" t="inlineStr">
        <is>
          <t>Lease Service</t>
        </is>
      </c>
      <c r="C181" s="24" t="inlineStr">
        <is>
          <t>ใช้เทมเพลตสัญญาของหอคนอื่นไม่ได้</t>
        </is>
      </c>
      <c r="D181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1" s="24" t="inlineStr">
        <is>
          <t>1. สร้างสัญญาด้วยเทมเพลตของหอ B</t>
        </is>
      </c>
      <c r="F181" s="24" t="inlineStr">
        <is>
          <t>templateId ของหอ B</t>
        </is>
      </c>
      <c r="G181" s="24" t="inlineStr">
        <is>
          <t>HTTP 400 และไม่มีสัญญาถูกสร้าง</t>
        </is>
      </c>
      <c r="H181" s="24" t="inlineStr">
        <is>
          <t>ผลตรงตามที่คาดหวัง — assertion ผ่านครบ (0.05 วินาที)</t>
        </is>
      </c>
      <c r="I181" s="25" t="inlineStr">
        <is>
          <t>Pass</t>
        </is>
      </c>
      <c r="J181" s="24" t="n"/>
      <c r="K181" s="24" t="n"/>
      <c r="L181" s="24" t="inlineStr">
        <is>
          <t>DEV (localhost) · PostgreSQL 17.10 ใน Docker (ฐาน nestly_test) · Node.js 22.19 · Windows 11</t>
        </is>
      </c>
      <c r="M181" s="24" t="inlineStr">
        <is>
          <t>Vitest 4.1.11 (อัตโนมัติ)</t>
        </is>
      </c>
      <c r="N181" s="26" t="n">
        <v>46324.78269918982</v>
      </c>
      <c r="O181" s="24" t="inlineStr">
        <is>
          <t>ผลรายเคสอยู่ในไฟล์ JSON ของ Vitest (evidence-api/)</t>
        </is>
      </c>
      <c r="P181" s="24" t="inlineStr">
        <is>
          <t>สคริปต์: tests/integration/leases.test.ts
ชื่อเทสต์: lease service refuses a contract template that belongs to another property</t>
        </is>
      </c>
    </row>
    <row r="182" ht="60" customHeight="1">
      <c r="A182" s="23" t="inlineStr">
        <is>
          <t>TC_INT_LEASE_002</t>
        </is>
      </c>
      <c r="B182" s="24" t="inlineStr">
        <is>
          <t>Lease Service</t>
        </is>
      </c>
      <c r="C182" s="24" t="inlineStr">
        <is>
          <t>สร้างสัญญาด้วยเทมเพลตของหอตัวเอง</t>
        </is>
      </c>
      <c r="D182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2" s="24" t="inlineStr">
        <is>
          <t>1. สร้างสัญญาด้วยเทมเพลตหอ A</t>
        </is>
      </c>
      <c r="F182" s="24" t="inlineStr">
        <is>
          <t>templateId ของหอ A</t>
        </is>
      </c>
      <c r="G182" s="24" t="inlineStr">
        <is>
          <t>สร้างสำเร็จ เลขสัญญามีเลขห้อง</t>
        </is>
      </c>
      <c r="H182" s="24" t="inlineStr">
        <is>
          <t>ผลตรงตามที่คาดหวัง — assertion ผ่านครบ (0.04 วินาที)</t>
        </is>
      </c>
      <c r="I182" s="25" t="inlineStr">
        <is>
          <t>Pass</t>
        </is>
      </c>
      <c r="J182" s="24" t="n"/>
      <c r="K182" s="24" t="n"/>
      <c r="L182" s="24" t="inlineStr">
        <is>
          <t>DEV (localhost) · PostgreSQL 17.10 ใน Docker (ฐาน nestly_test) · Node.js 22.19 · Windows 11</t>
        </is>
      </c>
      <c r="M182" s="24" t="inlineStr">
        <is>
          <t>Vitest 4.1.11 (อัตโนมัติ)</t>
        </is>
      </c>
      <c r="N182" s="26" t="n">
        <v>46324.78269971721</v>
      </c>
      <c r="O182" s="24" t="inlineStr">
        <is>
          <t>ผลรายเคสอยู่ในไฟล์ JSON ของ Vitest (evidence-api/)</t>
        </is>
      </c>
      <c r="P182" s="24" t="inlineStr">
        <is>
          <t>สคริปต์: tests/integration/leases.test.ts
ชื่อเทสต์: lease service creates a lease with a template from this property</t>
        </is>
      </c>
    </row>
    <row r="183" ht="60" customHeight="1">
      <c r="A183" s="23" t="inlineStr">
        <is>
          <t>TC_INT_LEASE_003</t>
        </is>
      </c>
      <c r="B183" s="24" t="inlineStr">
        <is>
          <t>Lease Service</t>
        </is>
      </c>
      <c r="C183" s="24" t="inlineStr">
        <is>
          <t>ห้องเดียวมีร่างได้หลายฉบับ แต่มีสัญญาที่ใช้งานได้ฉบับเดียว</t>
        </is>
      </c>
      <c r="D183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3" s="24" t="inlineStr">
        <is>
          <t>1. สร้างร่างเพิ่ม
2. ตั้งฉบับแรกเป็นรอลงนาม
3. สร้างอีกฉบับ</t>
        </is>
      </c>
      <c r="F183" s="24" t="inlineStr">
        <is>
          <t>status = PENDING_SIGNATURE</t>
        </is>
      </c>
      <c r="G183" s="24" t="inlineStr">
        <is>
          <t>ร่างเพิ่มได้ · ฉบับที่สองขณะมีฉบับใช้งานได้ 409</t>
        </is>
      </c>
      <c r="H183" s="24" t="inlineStr">
        <is>
          <t>ผลตรงตามที่คาดหวัง — assertion ผ่านครบ (0.08 วินาที)</t>
        </is>
      </c>
      <c r="I183" s="25" t="inlineStr">
        <is>
          <t>Pass</t>
        </is>
      </c>
      <c r="J183" s="24" t="n"/>
      <c r="K183" s="24" t="n"/>
      <c r="L183" s="24" t="inlineStr">
        <is>
          <t>DEV (localhost) · PostgreSQL 17.10 ใน Docker (ฐาน nestly_test) · Node.js 22.19 · Windows 11</t>
        </is>
      </c>
      <c r="M183" s="24" t="inlineStr">
        <is>
          <t>Vitest 4.1.11 (อัตโนมัติ)</t>
        </is>
      </c>
      <c r="N183" s="26" t="n">
        <v>46324.78270014228</v>
      </c>
      <c r="O183" s="24" t="inlineStr">
        <is>
          <t>ผลรายเคสอยู่ในไฟล์ JSON ของ Vitest (evidence-api/)</t>
        </is>
      </c>
      <c r="P183" s="24" t="inlineStr">
        <is>
          <t>สคริปต์: tests/integration/leases.test.ts
ชื่อเทสต์: lease service allows another draft but refuses a second live lease on the same room</t>
        </is>
      </c>
    </row>
    <row r="184" ht="60" customHeight="1">
      <c r="A184" s="23" t="inlineStr">
        <is>
          <t>TC_INT_LEASE_004</t>
        </is>
      </c>
      <c r="B184" s="24" t="inlineStr">
        <is>
          <t>Lease Service</t>
        </is>
      </c>
      <c r="C184" s="24" t="inlineStr">
        <is>
          <t>ค้นหาสัญญาและกรองตามคำค้น</t>
        </is>
      </c>
      <c r="D184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4" s="24" t="inlineStr">
        <is>
          <t>1. ดึงทั้งหมด
2. ค้นด้วยเลขห้อง
3. ค้นด้วยคำที่ไม่มี</t>
        </is>
      </c>
      <c r="F184" s="24" t="inlineStr">
        <is>
          <t>q = เลขห้อง / คำที่ไม่มี</t>
        </is>
      </c>
      <c r="G184" s="24" t="inlineStr">
        <is>
          <t>ทั้งหมด &gt; 0 · ตามห้อง &gt; 0 · ไม่ตรง 0</t>
        </is>
      </c>
      <c r="H184" s="24" t="inlineStr">
        <is>
          <t>ผลตรงตามที่คาดหวัง — assertion ผ่านครบ (0.04 วินาที)</t>
        </is>
      </c>
      <c r="I184" s="25" t="inlineStr">
        <is>
          <t>Pass</t>
        </is>
      </c>
      <c r="J184" s="24" t="n"/>
      <c r="K184" s="24" t="n"/>
      <c r="L184" s="24" t="inlineStr">
        <is>
          <t>DEV (localhost) · PostgreSQL 17.10 ใน Docker (ฐาน nestly_test) · Node.js 22.19 · Windows 11</t>
        </is>
      </c>
      <c r="M184" s="24" t="inlineStr">
        <is>
          <t>Vitest 4.1.11 (อัตโนมัติ)</t>
        </is>
      </c>
      <c r="N184" s="26" t="n">
        <v>46324.78270104717</v>
      </c>
      <c r="O184" s="24" t="inlineStr">
        <is>
          <t>ผลรายเคสอยู่ในไฟล์ JSON ของ Vitest (evidence-api/)</t>
        </is>
      </c>
      <c r="P184" s="24" t="inlineStr">
        <is>
          <t>สคริปต์: tests/integration/leases.test.ts
ชื่อเทสต์: lease service lists leases and narrows them by query</t>
        </is>
      </c>
    </row>
    <row r="185" ht="60" customHeight="1">
      <c r="A185" s="23" t="inlineStr">
        <is>
          <t>TC_INT_LEASE_005</t>
        </is>
      </c>
      <c r="B185" s="24" t="inlineStr">
        <is>
          <t>Lease Service</t>
        </is>
      </c>
      <c r="C185" s="24" t="inlineStr">
        <is>
          <t>อ่านสัญญาได้เฉพาะหอตัวเอง</t>
        </is>
      </c>
      <c r="D185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5" s="24" t="inlineStr">
        <is>
          <t>1. อ่านจากหอ A
2. อ่านจากหอ B</t>
        </is>
      </c>
      <c r="F185" s="24" t="inlineStr">
        <is>
          <t>leaseId ของหอ A</t>
        </is>
      </c>
      <c r="G185" s="24" t="inlineStr">
        <is>
          <t>หอ A ได้สัญญา · หอ B ได้ 404</t>
        </is>
      </c>
      <c r="H185" s="24" t="inlineStr">
        <is>
          <t>ผลตรงตามที่คาดหวัง — assertion ผ่านครบ (0.03 วินาที)</t>
        </is>
      </c>
      <c r="I185" s="25" t="inlineStr">
        <is>
          <t>Pass</t>
        </is>
      </c>
      <c r="J185" s="24" t="n"/>
      <c r="K185" s="24" t="n"/>
      <c r="L185" s="24" t="inlineStr">
        <is>
          <t>DEV (localhost) · PostgreSQL 17.10 ใน Docker (ฐาน nestly_test) · Node.js 22.19 · Windows 11</t>
        </is>
      </c>
      <c r="M185" s="24" t="inlineStr">
        <is>
          <t>Vitest 4.1.11 (อัตโนมัติ)</t>
        </is>
      </c>
      <c r="N185" s="26" t="n">
        <v>46324.78270153752</v>
      </c>
      <c r="O185" s="24" t="inlineStr">
        <is>
          <t>ผลรายเคสอยู่ในไฟล์ JSON ของ Vitest (evidence-api/)</t>
        </is>
      </c>
      <c r="P185" s="24" t="inlineStr">
        <is>
          <t>สคริปต์: tests/integration/leases.test.ts
ชื่อเทสต์: lease service reads one lease and hides leases of other properties</t>
        </is>
      </c>
    </row>
    <row r="186" ht="60" customHeight="1">
      <c r="A186" s="23" t="inlineStr">
        <is>
          <t>TC_INT_LEASE_006</t>
        </is>
      </c>
      <c r="B186" s="24" t="inlineStr">
        <is>
          <t>Lease Service</t>
        </is>
      </c>
      <c r="C186" s="24" t="inlineStr">
        <is>
          <t>ยังไม่แนบสัญญาที่ลงนาม ต้องตอบว่าไม่พบ</t>
        </is>
      </c>
      <c r="D186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86" s="24" t="inlineStr">
        <is>
          <t>1. ขอไฟล์สัญญาที่ลงนาม</t>
        </is>
      </c>
      <c r="F186" s="24" t="inlineStr">
        <is>
          <t>ยังไม่แนบไฟล์</t>
        </is>
      </c>
      <c r="G186" s="24" t="inlineStr">
        <is>
          <t>HTTP 404</t>
        </is>
      </c>
      <c r="H186" s="24" t="inlineStr">
        <is>
          <t>ผลตรงตามที่คาดหวัง — assertion ผ่านครบ (0.01 วินาที)</t>
        </is>
      </c>
      <c r="I186" s="25" t="inlineStr">
        <is>
          <t>Pass</t>
        </is>
      </c>
      <c r="J186" s="24" t="n"/>
      <c r="K186" s="24" t="n"/>
      <c r="L186" s="24" t="inlineStr">
        <is>
          <t>DEV (localhost) · PostgreSQL 17.10 ใน Docker (ฐาน nestly_test) · Node.js 22.19 · Windows 11</t>
        </is>
      </c>
      <c r="M186" s="24" t="inlineStr">
        <is>
          <t>Vitest 4.1.11 (อัตโนมัติ)</t>
        </is>
      </c>
      <c r="N186" s="26" t="n">
        <v>46324.78270183236</v>
      </c>
      <c r="O186" s="24" t="inlineStr">
        <is>
          <t>ผลรายเคสอยู่ในไฟล์ JSON ของ Vitest (evidence-api/)</t>
        </is>
      </c>
      <c r="P186" s="24" t="inlineStr">
        <is>
          <t>สคริปต์: tests/integration/leases.test.ts
ชื่อเทสต์: lease service reports no signed document until one is attached</t>
        </is>
      </c>
    </row>
    <row r="187" ht="60" customHeight="1">
      <c r="A187" s="23" t="inlineStr">
        <is>
          <t>TC_INT_LOGIN_001</t>
        </is>
      </c>
      <c r="B187" s="24" t="inlineStr">
        <is>
          <t>Login Flow</t>
        </is>
      </c>
      <c r="C187" s="24" t="inlineStr">
        <is>
          <t>บัญชีที่ต้องเปลี่ยนรหัสถูกพาไปหน้าเปลี่ยนรหัสก่อน</t>
        </is>
      </c>
      <c r="D18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87" s="24" t="inlineStr">
        <is>
          <t>1. POST login ด้วยบัญชี mustChangePassword</t>
        </is>
      </c>
      <c r="F187" s="24" t="inlineStr">
        <is>
          <t>mustChangePassword = true</t>
        </is>
      </c>
      <c r="G187" s="24" t="inlineStr">
        <is>
          <t>HTTP 200 redirectTo = /change-password</t>
        </is>
      </c>
      <c r="H187" s="24" t="inlineStr">
        <is>
          <t>ผลตรงตามที่คาดหวัง — assertion ผ่านครบ (0.20 วินาที)</t>
        </is>
      </c>
      <c r="I187" s="25" t="inlineStr">
        <is>
          <t>Pass</t>
        </is>
      </c>
      <c r="J187" s="24" t="n"/>
      <c r="K187" s="24" t="n"/>
      <c r="L187" s="24" t="inlineStr">
        <is>
          <t>DEV (localhost) · PostgreSQL 17.10 ใน Docker (ฐาน nestly_test) · Node.js 22.19 · Windows 11</t>
        </is>
      </c>
      <c r="M187" s="24" t="inlineStr">
        <is>
          <t>Vitest 4.1.11 (อัตโนมัติ)</t>
        </is>
      </c>
      <c r="N187" s="26" t="n">
        <v>46324.78267189815</v>
      </c>
      <c r="O187" s="24" t="inlineStr">
        <is>
          <t>ผลรายเคสอยู่ในไฟล์ JSON ของ Vitest (evidence-api/)</t>
        </is>
      </c>
      <c r="P187" s="24" t="inlineStr">
        <is>
          <t>สคริปต์: tests/integration/login-destination.test.ts
ชื่อเทสต์: where login sends each user sends a password change ahead of everything else</t>
        </is>
      </c>
    </row>
    <row r="188" ht="60" customHeight="1">
      <c r="A188" s="23" t="inlineStr">
        <is>
          <t>TC_INT_LOGIN_002</t>
        </is>
      </c>
      <c r="B188" s="24" t="inlineStr">
        <is>
          <t>Login Flow</t>
        </is>
      </c>
      <c r="C188" s="24" t="inlineStr">
        <is>
          <t>เจ้าของหอที่ยังไม่ยอมรับนโยบายถูกพาไปหน้ายอมรับ (PDPA)</t>
        </is>
      </c>
      <c r="D18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88" s="24" t="inlineStr">
        <is>
          <t>1. POST login ด้วยบัญชีที่ยังไม่ยอมรับนโยบาย</t>
        </is>
      </c>
      <c r="F188" s="24" t="inlineStr">
        <is>
          <t>ไม่มี PolicyAction</t>
        </is>
      </c>
      <c r="G188" s="24" t="inlineStr">
        <is>
          <t>redirectTo = /legal/accept</t>
        </is>
      </c>
      <c r="H188" s="24" t="inlineStr">
        <is>
          <t>ผลตรงตามที่คาดหวัง — assertion ผ่านครบ (0.16 วินาที)</t>
        </is>
      </c>
      <c r="I188" s="25" t="inlineStr">
        <is>
          <t>Pass</t>
        </is>
      </c>
      <c r="J188" s="24" t="n"/>
      <c r="K188" s="24" t="n"/>
      <c r="L188" s="24" t="inlineStr">
        <is>
          <t>DEV (localhost) · PostgreSQL 17.10 ใน Docker (ฐาน nestly_test) · Node.js 22.19 · Windows 11</t>
        </is>
      </c>
      <c r="M188" s="24" t="inlineStr">
        <is>
          <t>Vitest 4.1.11 (อัตโนมัติ)</t>
        </is>
      </c>
      <c r="N188" s="26" t="n">
        <v>46324.78267420493</v>
      </c>
      <c r="O188" s="24" t="inlineStr">
        <is>
          <t>ผลรายเคสอยู่ในไฟล์ JSON ของ Vitest (evidence-api/)</t>
        </is>
      </c>
      <c r="P188" s="24" t="inlineStr">
        <is>
          <t>สคริปต์: tests/integration/login-destination.test.ts
ชื่อเทสต์: where login sends each user asks for the policies before letting an owner in</t>
        </is>
      </c>
    </row>
    <row r="189" ht="60" customHeight="1">
      <c r="A189" s="23" t="inlineStr">
        <is>
          <t>TC_INT_LOGIN_003</t>
        </is>
      </c>
      <c r="B189" s="24" t="inlineStr">
        <is>
          <t>Login Flow</t>
        </is>
      </c>
      <c r="C189" s="24" t="inlineStr">
        <is>
          <t>Super Admin ไปพื้นที่ของตัวเอง</t>
        </is>
      </c>
      <c r="D18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89" s="24" t="inlineStr">
        <is>
          <t>1. POST login ด้วย Super Admin</t>
        </is>
      </c>
      <c r="F189" s="24" t="inlineStr">
        <is>
          <t>role = SUPER_ADMIN</t>
        </is>
      </c>
      <c r="G189" s="24" t="inlineStr">
        <is>
          <t>redirectTo = /super-admin (หรือ /legal/accept ถ้ายังไม่ยอมรับนโยบาย)</t>
        </is>
      </c>
      <c r="H189" s="24" t="inlineStr">
        <is>
          <t>ผลตรงตามที่คาดหวัง — assertion ผ่านครบ (0.16 วินาที)</t>
        </is>
      </c>
      <c r="I189" s="25" t="inlineStr">
        <is>
          <t>Pass</t>
        </is>
      </c>
      <c r="J189" s="24" t="n"/>
      <c r="K189" s="24" t="n"/>
      <c r="L189" s="24" t="inlineStr">
        <is>
          <t>DEV (localhost) · PostgreSQL 17.10 ใน Docker (ฐาน nestly_test) · Node.js 22.19 · Windows 11</t>
        </is>
      </c>
      <c r="M189" s="24" t="inlineStr">
        <is>
          <t>Vitest 4.1.11 (อัตโนมัติ)</t>
        </is>
      </c>
      <c r="N189" s="26" t="n">
        <v>46324.78267601466</v>
      </c>
      <c r="O189" s="24" t="inlineStr">
        <is>
          <t>ผลรายเคสอยู่ในไฟล์ JSON ของ Vitest (evidence-api/)</t>
        </is>
      </c>
      <c r="P189" s="24" t="inlineStr">
        <is>
          <t>สคริปต์: tests/integration/login-destination.test.ts
ชื่อเทสต์: where login sends each user sends a super admin to their own area</t>
        </is>
      </c>
    </row>
    <row r="190" ht="60" customHeight="1">
      <c r="A190" s="23" t="inlineStr">
        <is>
          <t>TC_INT_LOGIN_004</t>
        </is>
      </c>
      <c r="B190" s="24" t="inlineStr">
        <is>
          <t>Login Flow</t>
        </is>
      </c>
      <c r="C190" s="24" t="inlineStr">
        <is>
          <t>cookie session อ่านด้วยสคริปต์ไม่ได้</t>
        </is>
      </c>
      <c r="D190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90" s="24" t="inlineStr">
        <is>
          <t>1. POST login
2. ตรวจ cookie</t>
        </is>
      </c>
      <c r="F190" s="24" t="inlineStr">
        <is>
          <t>บัญชีเจ้าของหอ</t>
        </is>
      </c>
      <c r="G190" s="24" t="inlineStr">
        <is>
          <t>cookie มีค่า · HttpOnly = true · มี SameSite</t>
        </is>
      </c>
      <c r="H190" s="24" t="inlineStr">
        <is>
          <t>ผลตรงตามที่คาดหวัง — assertion ผ่านครบ (0.15 วินาที)</t>
        </is>
      </c>
      <c r="I190" s="25" t="inlineStr">
        <is>
          <t>Pass</t>
        </is>
      </c>
      <c r="J190" s="24" t="n"/>
      <c r="K190" s="24" t="n"/>
      <c r="L190" s="24" t="inlineStr">
        <is>
          <t>DEV (localhost) · PostgreSQL 17.10 ใน Docker (ฐาน nestly_test) · Node.js 22.19 · Windows 11</t>
        </is>
      </c>
      <c r="M190" s="24" t="inlineStr">
        <is>
          <t>Vitest 4.1.11 (อัตโนมัติ)</t>
        </is>
      </c>
      <c r="N190" s="26" t="n">
        <v>46324.78267786613</v>
      </c>
      <c r="O190" s="24" t="inlineStr">
        <is>
          <t>ผลรายเคสอยู่ในไฟล์ JSON ของ Vitest (evidence-api/)</t>
        </is>
      </c>
      <c r="P190" s="24" t="inlineStr">
        <is>
          <t>สคริปต์: tests/integration/login-destination.test.ts
ชื่อเทสต์: where login sends each user issues a session cookie that is not readable by scripts</t>
        </is>
      </c>
    </row>
    <row r="191" ht="60" customHeight="1">
      <c r="A191" s="23" t="inlineStr">
        <is>
          <t>TC_INT_LOGIN_005</t>
        </is>
      </c>
      <c r="B191" s="24" t="inlineStr">
        <is>
          <t>Login Flow</t>
        </is>
      </c>
      <c r="C191" s="24" t="inlineStr">
        <is>
          <t>ข้อความ error เหมือนกันทุกกรณี (กัน Account Enumeration)</t>
        </is>
      </c>
      <c r="D191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91" s="24" t="inlineStr">
        <is>
          <t>1. login รหัสผิด
2. login บัญชีรออนุมัติ
3. login บัญชีถูกปิด</t>
        </is>
      </c>
      <c r="F191" s="24" t="inlineStr">
        <is>
          <t>3 บัญชี</t>
        </is>
      </c>
      <c r="G191" s="24" t="inlineStr">
        <is>
          <t>ทุกกรณี 401 และข้อความเหมือนกัน (1 แบบ)</t>
        </is>
      </c>
      <c r="H191" s="24" t="inlineStr">
        <is>
          <t>ผลตรงตามที่คาดหวัง — assertion ผ่านครบ (0.47 วินาที)</t>
        </is>
      </c>
      <c r="I191" s="25" t="inlineStr">
        <is>
          <t>Pass</t>
        </is>
      </c>
      <c r="J191" s="24" t="n"/>
      <c r="K191" s="24" t="n"/>
      <c r="L191" s="24" t="inlineStr">
        <is>
          <t>DEV (localhost) · PostgreSQL 17.10 ใน Docker (ฐาน nestly_test) · Node.js 22.19 · Windows 11</t>
        </is>
      </c>
      <c r="M191" s="24" t="inlineStr">
        <is>
          <t>Vitest 4.1.11 (อัตโนมัติ)</t>
        </is>
      </c>
      <c r="N191" s="26" t="n">
        <v>46324.78267964337</v>
      </c>
      <c r="O191" s="24" t="inlineStr">
        <is>
          <t>ผลรายเคสอยู่ในไฟล์ JSON ของ Vitest (evidence-api/)</t>
        </is>
      </c>
      <c r="P191" s="24" t="inlineStr">
        <is>
          <t>สคริปต์: tests/integration/login-destination.test.ts
ชื่อเทสต์: where login sends each user keeps the message identical for wrong password, pending and disabled accounts</t>
        </is>
      </c>
    </row>
    <row r="192" ht="60" customHeight="1">
      <c r="A192" s="23" t="inlineStr">
        <is>
          <t>TC_INT_LOGIN_006</t>
        </is>
      </c>
      <c r="B192" s="24" t="inlineStr">
        <is>
          <t>Login Flow</t>
        </is>
      </c>
      <c r="C192" s="24" t="inlineStr">
        <is>
          <t>ปฏิเสธ login จากเว็บอื่น</t>
        </is>
      </c>
      <c r="D192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92" s="24" t="inlineStr">
        <is>
          <t>1. POST login จาก origin ภายนอก</t>
        </is>
      </c>
      <c r="F192" s="24" t="inlineStr">
        <is>
          <t>origin ภายนอก</t>
        </is>
      </c>
      <c r="G192" s="24" t="inlineStr">
        <is>
          <t>HTTP 403</t>
        </is>
      </c>
      <c r="H192" s="24" t="inlineStr">
        <is>
          <t>ผลตรงตามที่คาดหวัง — assertion ผ่านครบ (0.07 วินาที)</t>
        </is>
      </c>
      <c r="I192" s="25" t="inlineStr">
        <is>
          <t>Pass</t>
        </is>
      </c>
      <c r="J192" s="24" t="n"/>
      <c r="K192" s="24" t="n"/>
      <c r="L192" s="24" t="inlineStr">
        <is>
          <t>DEV (localhost) · PostgreSQL 17.10 ใน Docker (ฐาน nestly_test) · Node.js 22.19 · Windows 11</t>
        </is>
      </c>
      <c r="M192" s="24" t="inlineStr">
        <is>
          <t>Vitest 4.1.11 (อัตโนมัติ)</t>
        </is>
      </c>
      <c r="N192" s="26" t="n">
        <v>46324.7826850422</v>
      </c>
      <c r="O192" s="24" t="inlineStr">
        <is>
          <t>ผลรายเคสอยู่ในไฟล์ JSON ของ Vitest (evidence-api/)</t>
        </is>
      </c>
      <c r="P192" s="24" t="inlineStr">
        <is>
          <t>สคริปต์: tests/integration/login-destination.test.ts
ชื่อเทสต์: where login sends each user rejects a cross-origin login attempt</t>
        </is>
      </c>
    </row>
    <row r="193" ht="60" customHeight="1">
      <c r="A193" s="23" t="inlineStr">
        <is>
          <t>TC_INT_JOB_001</t>
        </is>
      </c>
      <c r="B193" s="24" t="inlineStr">
        <is>
          <t>Background Job</t>
        </is>
      </c>
      <c r="C193" s="24" t="inlineStr">
        <is>
          <t>งานตามรอบอัปเดตบิลเกินกำหนด เผยแพร่ประกาศที่ตั้งเวลา และหมดอายุแพ็กเกจ แบบ atomic และรันซ้ำได้</t>
        </is>
      </c>
      <c r="D193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193" s="24" t="inlineStr">
        <is>
          <t>1. เตรียมบิลเกินกำหนด ประกาศตั้งเวลา แพ็กเกจหมดอายุ
2. รัน maintenance job
3. รันซ้ำ</t>
        </is>
      </c>
      <c r="F193" s="24" t="inlineStr">
        <is>
          <t>dueDate = 2000-06-05 · ประกาศ SCHEDULED</t>
        </is>
      </c>
      <c r="G193" s="24" t="inlineStr">
        <is>
          <t>บิล OVERDUE ค่าปรับ 200 มีรายการค่าปรับ 1 รายการ · ประกาศ PUBLISHED · แพ็กเกจ EXPIRED · รันซ้ำไม่เพิ่มรายการ</t>
        </is>
      </c>
      <c r="H193" s="24" t="inlineStr">
        <is>
          <t>ผลตรงตามที่คาดหวัง — assertion ผ่านครบ (0.16 วินาที)</t>
        </is>
      </c>
      <c r="I193" s="25" t="inlineStr">
        <is>
          <t>Pass</t>
        </is>
      </c>
      <c r="J193" s="24" t="n"/>
      <c r="K193" s="24" t="n"/>
      <c r="L193" s="24" t="inlineStr">
        <is>
          <t>DEV (localhost) · PostgreSQL 17.10 ใน Docker (ฐาน nestly_test) · Node.js 22.19 · Windows 11</t>
        </is>
      </c>
      <c r="M193" s="24" t="inlineStr">
        <is>
          <t>Vitest 4.1.11 (อัตโนมัติ)</t>
        </is>
      </c>
      <c r="N193" s="26" t="n">
        <v>46324.78271555556</v>
      </c>
      <c r="O193" s="24" t="inlineStr">
        <is>
          <t>ผลรายเคสอยู่ในไฟล์ JSON ของ Vitest (evidence-api/)</t>
        </is>
      </c>
      <c r="P193" s="24" t="inlineStr">
        <is>
          <t>สคริปต์: tests/integration/maintenance-job.test.ts
ชื่อเทสต์: maintenance background job integration updates overdue invoices, scheduled announcements and expired subscriptions atomically</t>
        </is>
      </c>
    </row>
    <row r="194" ht="60" customHeight="1">
      <c r="A194" s="23" t="inlineStr">
        <is>
          <t>TC_INT_SEARCH_001</t>
        </is>
      </c>
      <c r="B194" s="24" t="inlineStr">
        <is>
          <t>Owner Search</t>
        </is>
      </c>
      <c r="C194" s="24" t="inlineStr">
        <is>
          <t>ค้นหาผู้เช่าด้วยชื่อ และบอกห้องที่พัก</t>
        </is>
      </c>
      <c r="D194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4" s="24" t="inlineStr">
        <is>
          <t>1. GET ค้นหาด้วยชื่อ</t>
        </is>
      </c>
      <c r="F194" s="24" t="inlineStr">
        <is>
          <t>q = "สมชาย"</t>
        </is>
      </c>
      <c r="G194" s="24" t="inlineStr">
        <is>
          <t>พบ "สมชาย ค้นหาได้" มีเลขห้องและเบอร์ 0873334444</t>
        </is>
      </c>
      <c r="H194" s="24" t="inlineStr">
        <is>
          <t>ผลตรงตามที่คาดหวัง — assertion ผ่านครบ (0.08 วินาที)</t>
        </is>
      </c>
      <c r="I194" s="25" t="inlineStr">
        <is>
          <t>Pass</t>
        </is>
      </c>
      <c r="J194" s="24" t="n"/>
      <c r="K194" s="24" t="n"/>
      <c r="L194" s="24" t="inlineStr">
        <is>
          <t>DEV (localhost) · PostgreSQL 17.10 ใน Docker (ฐาน nestly_test) · Node.js 22.19 · Windows 11</t>
        </is>
      </c>
      <c r="M194" s="24" t="inlineStr">
        <is>
          <t>Vitest 4.1.11 (อัตโนมัติ)</t>
        </is>
      </c>
      <c r="N194" s="26" t="n">
        <v>46324.78273162037</v>
      </c>
      <c r="O194" s="24" t="inlineStr">
        <is>
          <t>ผลรายเคสอยู่ในไฟล์ JSON ของ Vitest (evidence-api/)</t>
        </is>
      </c>
      <c r="P194" s="24" t="inlineStr">
        <is>
          <t>สคริปต์: tests/integration/owner-search.test.ts
ชื่อเทสต์: owner global search finds a tenant by name and says which room they are in</t>
        </is>
      </c>
    </row>
    <row r="195" ht="60" customHeight="1">
      <c r="A195" s="23" t="inlineStr">
        <is>
          <t>TC_INT_SEARCH_002</t>
        </is>
      </c>
      <c r="B195" s="24" t="inlineStr">
        <is>
          <t>Owner Search</t>
        </is>
      </c>
      <c r="C195" s="24" t="inlineStr">
        <is>
          <t>ค้นหาผู้เช่าด้วยเบอร์โทร</t>
        </is>
      </c>
      <c r="D195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5" s="24" t="inlineStr">
        <is>
          <t>1. GET ค้นหาด้วยเบอร์</t>
        </is>
      </c>
      <c r="F195" s="24" t="inlineStr">
        <is>
          <t>q = เบอร์โทรบางส่วน</t>
        </is>
      </c>
      <c r="G195" s="24" t="inlineStr">
        <is>
          <t>พบผลประเภท tenant</t>
        </is>
      </c>
      <c r="H195" s="24" t="inlineStr">
        <is>
          <t>ผลตรงตามที่คาดหวัง — assertion ผ่านครบ (0.03 วินาที)</t>
        </is>
      </c>
      <c r="I195" s="25" t="inlineStr">
        <is>
          <t>Pass</t>
        </is>
      </c>
      <c r="J195" s="24" t="n"/>
      <c r="K195" s="24" t="n"/>
      <c r="L195" s="24" t="inlineStr">
        <is>
          <t>DEV (localhost) · PostgreSQL 17.10 ใน Docker (ฐาน nestly_test) · Node.js 22.19 · Windows 11</t>
        </is>
      </c>
      <c r="M195" s="24" t="inlineStr">
        <is>
          <t>Vitest 4.1.11 (อัตโนมัติ)</t>
        </is>
      </c>
      <c r="N195" s="26" t="n">
        <v>46324.78273250367</v>
      </c>
      <c r="O195" s="24" t="inlineStr">
        <is>
          <t>ผลรายเคสอยู่ในไฟล์ JSON ของ Vitest (evidence-api/)</t>
        </is>
      </c>
      <c r="P195" s="24" t="inlineStr">
        <is>
          <t>สคริปต์: tests/integration/owner-search.test.ts
ชื่อเทสต์: owner global search finds a tenant by phone number</t>
        </is>
      </c>
    </row>
    <row r="196" ht="60" customHeight="1">
      <c r="A196" s="23" t="inlineStr">
        <is>
          <t>TC_INT_SEARCH_003</t>
        </is>
      </c>
      <c r="B196" s="24" t="inlineStr">
        <is>
          <t>Owner Search</t>
        </is>
      </c>
      <c r="C196" s="24" t="inlineStr">
        <is>
          <t>ค้นหาห้องด้วยเลขห้อง</t>
        </is>
      </c>
      <c r="D196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6" s="24" t="inlineStr">
        <is>
          <t>1. GET ค้นหาด้วยเลขห้อง</t>
        </is>
      </c>
      <c r="F196" s="24" t="inlineStr">
        <is>
          <t>q = เลขห้อง</t>
        </is>
      </c>
      <c r="G196" s="24" t="inlineStr">
        <is>
          <t>พบผลประเภท room</t>
        </is>
      </c>
      <c r="H196" s="24" t="inlineStr">
        <is>
          <t>ผลตรงตามที่คาดหวัง — assertion ผ่านครบ (0.03 วินาที)</t>
        </is>
      </c>
      <c r="I196" s="25" t="inlineStr">
        <is>
          <t>Pass</t>
        </is>
      </c>
      <c r="J196" s="24" t="n"/>
      <c r="K196" s="24" t="n"/>
      <c r="L196" s="24" t="inlineStr">
        <is>
          <t>DEV (localhost) · PostgreSQL 17.10 ใน Docker (ฐาน nestly_test) · Node.js 22.19 · Windows 11</t>
        </is>
      </c>
      <c r="M196" s="24" t="inlineStr">
        <is>
          <t>Vitest 4.1.11 (อัตโนมัติ)</t>
        </is>
      </c>
      <c r="N196" s="26" t="n">
        <v>46324.78273286385</v>
      </c>
      <c r="O196" s="24" t="inlineStr">
        <is>
          <t>ผลรายเคสอยู่ในไฟล์ JSON ของ Vitest (evidence-api/)</t>
        </is>
      </c>
      <c r="P196" s="24" t="inlineStr">
        <is>
          <t>สคริปต์: tests/integration/owner-search.test.ts
ชื่อเทสต์: owner global search finds a room by its number</t>
        </is>
      </c>
    </row>
    <row r="197" ht="60" customHeight="1">
      <c r="A197" s="23" t="inlineStr">
        <is>
          <t>TC_INT_SEARCH_004</t>
        </is>
      </c>
      <c r="B197" s="24" t="inlineStr">
        <is>
          <t>Owner Search</t>
        </is>
      </c>
      <c r="C197" s="24" t="inlineStr">
        <is>
          <t>คำค้นสั้นกว่า 2 ตัวอักษรถูกปฏิเสธ (Boundary)</t>
        </is>
      </c>
      <c r="D197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7" s="24" t="inlineStr">
        <is>
          <t>1. GET ค้นหาด้วยคำ 1 ตัว</t>
        </is>
      </c>
      <c r="F197" s="24" t="inlineStr">
        <is>
          <t>q = 1 ตัวอักษร</t>
        </is>
      </c>
      <c r="G197" s="24" t="inlineStr">
        <is>
          <t>HTTP 4xx</t>
        </is>
      </c>
      <c r="H197" s="24" t="inlineStr">
        <is>
          <t>ผลตรงตามที่คาดหวัง — assertion ผ่านครบ (0.02 วินาที)</t>
        </is>
      </c>
      <c r="I197" s="25" t="inlineStr">
        <is>
          <t>Pass</t>
        </is>
      </c>
      <c r="J197" s="24" t="n"/>
      <c r="K197" s="24" t="n"/>
      <c r="L197" s="24" t="inlineStr">
        <is>
          <t>DEV (localhost) · PostgreSQL 17.10 ใน Docker (ฐาน nestly_test) · Node.js 22.19 · Windows 11</t>
        </is>
      </c>
      <c r="M197" s="24" t="inlineStr">
        <is>
          <t>Vitest 4.1.11 (อัตโนมัติ)</t>
        </is>
      </c>
      <c r="N197" s="26" t="n">
        <v>46324.78273316877</v>
      </c>
      <c r="O197" s="24" t="inlineStr">
        <is>
          <t>ผลรายเคสอยู่ในไฟล์ JSON ของ Vitest (evidence-api/)</t>
        </is>
      </c>
      <c r="P197" s="24" t="inlineStr">
        <is>
          <t>สคริปต์: tests/integration/owner-search.test.ts
ชื่อเทสต์: owner global search refuses a query shorter than two characters</t>
        </is>
      </c>
    </row>
    <row r="198" ht="60" customHeight="1">
      <c r="A198" s="23" t="inlineStr">
        <is>
          <t>TC_INT_SEARCH_005</t>
        </is>
      </c>
      <c r="B198" s="24" t="inlineStr">
        <is>
          <t>Owner Search</t>
        </is>
      </c>
      <c r="C198" s="24" t="inlineStr">
        <is>
          <t>เจ้าของหอคนอื่นค้นหาในหอนี้ไม่ได้ (IDOR)</t>
        </is>
      </c>
      <c r="D198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8" s="24" t="inlineStr">
        <is>
          <t>1. เจ้าของหอ B ค้นหาในหอ A</t>
        </is>
      </c>
      <c r="F198" s="24" t="inlineStr">
        <is>
          <t>cookie ของเจ้าของหอ B</t>
        </is>
      </c>
      <c r="G198" s="24" t="inlineStr">
        <is>
          <t>HTTP ≥ 403</t>
        </is>
      </c>
      <c r="H198" s="24" t="inlineStr">
        <is>
          <t>ผลตรงตามที่คาดหวัง — assertion ผ่านครบ (0.01 วินาที)</t>
        </is>
      </c>
      <c r="I198" s="25" t="inlineStr">
        <is>
          <t>Pass</t>
        </is>
      </c>
      <c r="J198" s="24" t="n"/>
      <c r="K198" s="24" t="n"/>
      <c r="L198" s="24" t="inlineStr">
        <is>
          <t>DEV (localhost) · PostgreSQL 17.10 ใน Docker (ฐาน nestly_test) · Node.js 22.19 · Windows 11</t>
        </is>
      </c>
      <c r="M198" s="24" t="inlineStr">
        <is>
          <t>Vitest 4.1.11 (อัตโนมัติ)</t>
        </is>
      </c>
      <c r="N198" s="26" t="n">
        <v>46324.78273340565</v>
      </c>
      <c r="O198" s="24" t="inlineStr">
        <is>
          <t>ผลรายเคสอยู่ในไฟล์ JSON ของ Vitest (evidence-api/)</t>
        </is>
      </c>
      <c r="P198" s="24" t="inlineStr">
        <is>
          <t>สคริปต์: tests/integration/owner-search.test.ts
ชื่อเทสต์: owner global search does not let another owner search this property</t>
        </is>
      </c>
    </row>
    <row r="199" ht="60" customHeight="1">
      <c r="A199" s="23" t="inlineStr">
        <is>
          <t>TC_INT_SEARCH_006</t>
        </is>
      </c>
      <c r="B199" s="24" t="inlineStr">
        <is>
          <t>Owner Search</t>
        </is>
      </c>
      <c r="C199" s="24" t="inlineStr">
        <is>
          <t>ไม่มี session ค้นหาไม่ได้</t>
        </is>
      </c>
      <c r="D199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199" s="24" t="inlineStr">
        <is>
          <t>1. GET ค้นหาไม่มี cookie</t>
        </is>
      </c>
      <c r="F199" s="24" t="inlineStr">
        <is>
          <t>ไม่มี cookie</t>
        </is>
      </c>
      <c r="G199" s="24" t="inlineStr">
        <is>
          <t>HTTP 401</t>
        </is>
      </c>
      <c r="H199" s="24" t="inlineStr">
        <is>
          <t>ผลตรงตามที่คาดหวัง — assertion ผ่านครบ (0.00 วินาที)</t>
        </is>
      </c>
      <c r="I199" s="25" t="inlineStr">
        <is>
          <t>Pass</t>
        </is>
      </c>
      <c r="J199" s="24" t="n"/>
      <c r="K199" s="24" t="n"/>
      <c r="L199" s="24" t="inlineStr">
        <is>
          <t>DEV (localhost) · PostgreSQL 17.10 ใน Docker (ฐาน nestly_test) · Node.js 22.19 · Windows 11</t>
        </is>
      </c>
      <c r="M199" s="24" t="inlineStr">
        <is>
          <t>Vitest 4.1.11 (อัตโนมัติ)</t>
        </is>
      </c>
      <c r="N199" s="26" t="n">
        <v>46324.78273352243</v>
      </c>
      <c r="O199" s="24" t="inlineStr">
        <is>
          <t>ผลรายเคสอยู่ในไฟล์ JSON ของ Vitest (evidence-api/)</t>
        </is>
      </c>
      <c r="P199" s="24" t="inlineStr">
        <is>
          <t>สคริปต์: tests/integration/owner-search.test.ts
ชื่อเทสต์: owner global search rejects a request with no session</t>
        </is>
      </c>
    </row>
    <row r="200" ht="60" customHeight="1">
      <c r="A200" s="23" t="inlineStr">
        <is>
          <t>TC_INT_RETAIN_001</t>
        </is>
      </c>
      <c r="B200" s="24" t="inlineStr">
        <is>
          <t>Data Retention</t>
        </is>
      </c>
      <c r="C200" s="24" t="inlineStr">
        <is>
          <t>ลบข้อมูลสลิปและไฟล์แนบแชทที่หมดอายุ หลังลบไฟล์ในที่เก็บสำเร็จเท่านั้น</t>
        </is>
      </c>
      <c r="D200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00" s="24" t="inlineStr">
        <is>
          <t>1. เตรียมสลิปและไฟล์แชทเก่า
2. รันงานล้างข้อมูล</t>
        </is>
      </c>
      <c r="F200" s="24" t="inlineStr">
        <is>
          <t>เกินระยะเก็บ</t>
        </is>
      </c>
      <c r="G200" s="24" t="inlineStr">
        <is>
          <t>ไฟล์ถูกลบจากที่เก็บ · ล้าง key ในฐานข้อมูลหลังลบสำเร็จ</t>
        </is>
      </c>
      <c r="H200" s="24" t="inlineStr">
        <is>
          <t>ผลตรงตามที่คาดหวัง — assertion ผ่านครบ (0.10 วินาที)</t>
        </is>
      </c>
      <c r="I200" s="25" t="inlineStr">
        <is>
          <t>Pass</t>
        </is>
      </c>
      <c r="J200" s="24" t="n"/>
      <c r="K200" s="24" t="n"/>
      <c r="L200" s="24" t="inlineStr">
        <is>
          <t>DEV (localhost) · PostgreSQL 17.10 ใน Docker (ฐาน nestly_test) · Node.js 22.19 · Windows 11</t>
        </is>
      </c>
      <c r="M200" s="24" t="inlineStr">
        <is>
          <t>Vitest 4.1.11 (อัตโนมัติ)</t>
        </is>
      </c>
      <c r="N200" s="26" t="n">
        <v>46324.782545</v>
      </c>
      <c r="O200" s="24" t="inlineStr">
        <is>
          <t>ผลรายเคสอยู่ในไฟล์ JSON ของ Vitest (evidence-api/)</t>
        </is>
      </c>
      <c r="P200" s="24" t="inlineStr">
        <is>
          <t>สคริปต์: tests/integration/resilience-workflows.test.ts
ชื่อเทสต์: retention, pagination and atomic workflow integration purges eligible slip and chat attachment metadata only after storage deletion succeeds</t>
        </is>
      </c>
    </row>
    <row r="201" ht="60" customHeight="1">
      <c r="A201" s="23" t="inlineStr">
        <is>
          <t>TC_INT_PAGE_001</t>
        </is>
      </c>
      <c r="B201" s="24" t="inlineStr">
        <is>
          <t>Pagination</t>
        </is>
      </c>
      <c r="C201" s="24" t="inlineStr">
        <is>
          <t>แบ่งหน้าข้อมูลมิเตอร์ภายในหอ และไม่รั่วไปหอคนอื่น</t>
        </is>
      </c>
      <c r="D201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01" s="24" t="inlineStr">
        <is>
          <t>1. บันทึกมิเตอร์ 3 เดือน
2. ดึงหน้า 1 และ 2 (ขนาด 2)
3. ดึงด้วยหอ B</t>
        </is>
      </c>
      <c r="F201" s="24" t="inlineStr">
        <is>
          <t>2025-01 ถึง 2025-03</t>
        </is>
      </c>
      <c r="G201" s="24" t="inlineStr">
        <is>
          <t>หน้า 1 มี 2 แถว hasNext true · หน้า 2 มี 1 แถว · รวมไม่ซ้ำ 3 · หอ B ได้ []</t>
        </is>
      </c>
      <c r="H201" s="24" t="inlineStr">
        <is>
          <t>ผลตรงตามที่คาดหวัง — assertion ผ่านครบ (0.08 วินาที)</t>
        </is>
      </c>
      <c r="I201" s="25" t="inlineStr">
        <is>
          <t>Pass</t>
        </is>
      </c>
      <c r="J201" s="24" t="n"/>
      <c r="K201" s="24" t="n"/>
      <c r="L201" s="24" t="inlineStr">
        <is>
          <t>DEV (localhost) · PostgreSQL 17.10 ใน Docker (ฐาน nestly_test) · Node.js 22.19 · Windows 11</t>
        </is>
      </c>
      <c r="M201" s="24" t="inlineStr">
        <is>
          <t>Vitest 4.1.11 (อัตโนมัติ)</t>
        </is>
      </c>
      <c r="N201" s="26" t="n">
        <v>46324.78254610467</v>
      </c>
      <c r="O201" s="24" t="inlineStr">
        <is>
          <t>ผลรายเคสอยู่ในไฟล์ JSON ของ Vitest (evidence-api/)</t>
        </is>
      </c>
      <c r="P201" s="24" t="inlineStr">
        <is>
          <t>สคริปต์: tests/integration/resilience-workflows.test.ts
ชื่อเทสต์: retention, pagination and atomic workflow integration paginates within property ownership and never leaks another property's rows</t>
        </is>
      </c>
    </row>
    <row r="202" ht="60" customHeight="1">
      <c r="A202" s="23" t="inlineStr">
        <is>
          <t>TC_INT_TX_001</t>
        </is>
      </c>
      <c r="B202" s="24" t="inlineStr">
        <is>
          <t>Transactions</t>
        </is>
      </c>
      <c r="C202" s="24" t="inlineStr">
        <is>
          <t>บันทึกมิเตอร์หลายห้อง ถ้ามีแถวผิดต้อง rollback ทั้งชุด</t>
        </is>
      </c>
      <c r="D202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02" s="24" t="inlineStr">
        <is>
          <t>1. บันทึก 2 แถว โดยแถวไฟเลขลดลง</t>
        </is>
      </c>
      <c r="F202" s="24" t="inlineStr">
        <is>
          <t>ไฟ: ก่อนหน้า 50 · ปัจจุบัน 49</t>
        </is>
      </c>
      <c r="G202" s="24" t="inlineStr">
        <is>
          <t>HTTP 400 และไม่มีแถวของเดือน 2025-04 ถูกบันทึก</t>
        </is>
      </c>
      <c r="H202" s="24" t="inlineStr">
        <is>
          <t>ผลตรงตามที่คาดหวัง — assertion ผ่านครบ (0.04 วินาที)</t>
        </is>
      </c>
      <c r="I202" s="25" t="inlineStr">
        <is>
          <t>Pass</t>
        </is>
      </c>
      <c r="J202" s="24" t="n"/>
      <c r="K202" s="24" t="n"/>
      <c r="L202" s="24" t="inlineStr">
        <is>
          <t>DEV (localhost) · PostgreSQL 17.10 ใน Docker (ฐาน nestly_test) · Node.js 22.19 · Windows 11</t>
        </is>
      </c>
      <c r="M202" s="24" t="inlineStr">
        <is>
          <t>Vitest 4.1.11 (อัตโนมัติ)</t>
        </is>
      </c>
      <c r="N202" s="26" t="n">
        <v>46324.78254702946</v>
      </c>
      <c r="O202" s="24" t="inlineStr">
        <is>
          <t>ผลรายเคสอยู่ในไฟล์ JSON ของ Vitest (evidence-api/)</t>
        </is>
      </c>
      <c r="P202" s="24" t="inlineStr">
        <is>
          <t>สคริปต์: tests/integration/resilience-workflows.test.ts
ชื่อเทสต์: retention, pagination and atomic workflow integration rolls back every meter row when one item in a bulk write is invalid</t>
        </is>
      </c>
    </row>
    <row r="203" ht="60" customHeight="1">
      <c r="A203" s="23" t="inlineStr">
        <is>
          <t>TC_INT_UPLOAD_009</t>
        </is>
      </c>
      <c r="B203" s="24" t="inlineStr">
        <is>
          <t>File Upload</t>
        </is>
      </c>
      <c r="C203" s="24" t="inlineStr">
        <is>
          <t>ปฏิเสธ PDF ปลอมและการอัปโหลดข้ามโดเมนก่อนบันทึกสัญญาที่ลงนาม</t>
        </is>
      </c>
      <c r="D203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03" s="24" t="inlineStr">
        <is>
          <t>1. อัปโหลด lease.pdf ที่เป็นข้อความ
2. อัปโหลด PDF จริงจาก origin ภายนอก</t>
        </is>
      </c>
      <c r="F203" s="24" t="inlineStr">
        <is>
          <t>"not a pdf" · origin ภายนอก</t>
        </is>
      </c>
      <c r="G203" s="24" t="inlineStr">
        <is>
          <t>ไฟล์ปลอม 415 · ข้ามโดเมน 403 · ไม่มีสัญญาที่มีไฟล์ลงนาม</t>
        </is>
      </c>
      <c r="H203" s="24" t="inlineStr">
        <is>
          <t>ผลตรงตามที่คาดหวัง — assertion ผ่านครบ (0.08 วินาที)</t>
        </is>
      </c>
      <c r="I203" s="25" t="inlineStr">
        <is>
          <t>Pass</t>
        </is>
      </c>
      <c r="J203" s="24" t="n"/>
      <c r="K203" s="24" t="n"/>
      <c r="L203" s="24" t="inlineStr">
        <is>
          <t>DEV (localhost) · PostgreSQL 17.10 ใน Docker (ฐาน nestly_test) · Node.js 22.19 · Windows 11</t>
        </is>
      </c>
      <c r="M203" s="24" t="inlineStr">
        <is>
          <t>Vitest 4.1.11 (อัตโนมัติ)</t>
        </is>
      </c>
      <c r="N203" s="26" t="n">
        <v>46324.78254752864</v>
      </c>
      <c r="O203" s="24" t="inlineStr">
        <is>
          <t>ผลรายเคสอยู่ในไฟล์ JSON ของ Vitest (evidence-api/)</t>
        </is>
      </c>
      <c r="P203" s="24" t="inlineStr">
        <is>
          <t>สคริปต์: tests/integration/resilience-workflows.test.ts
ชื่อเทสต์: upload and subscription enforcement integration rejects cross-origin and forged PDF uploads before persisting a signed document</t>
        </is>
      </c>
    </row>
    <row r="204" ht="60" customHeight="1">
      <c r="A204" s="23" t="inlineStr">
        <is>
          <t>TC_INT_SUB_001</t>
        </is>
      </c>
      <c r="B204" s="24" t="inlineStr">
        <is>
          <t>Subscription Enforcement</t>
        </is>
      </c>
      <c r="C204" s="24" t="inlineStr">
        <is>
          <t>ช่วงผ่อนผันยังใช้งานได้ หลังจากนั้นเป็นอ่านอย่างเดียว</t>
        </is>
      </c>
      <c r="D204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4" s="24" t="inlineStr">
        <is>
          <t>1. ตั้งแพ็กเกจหมดอายุในช่วงผ่อนผัน
2. ตั้งหมดอายุเกินช่วงผ่อนผัน
3. ขอใช้ฟีเจอร์อัปโหลด</t>
        </is>
      </c>
      <c r="F204" s="24" t="inlineStr">
        <is>
          <t>grace period ตามค่าตั้ง</t>
        </is>
      </c>
      <c r="G204" s="24" t="inlineStr">
        <is>
          <t>ในช่วงผ่อนผันผ่าน · เกินช่วงได้ 403 และสถานะเป็น EXPIRED</t>
        </is>
      </c>
      <c r="H204" s="24" t="inlineStr">
        <is>
          <t>ผลตรงตามที่คาดหวัง — assertion ผ่านครบ (0.04 วินาที)</t>
        </is>
      </c>
      <c r="I204" s="25" t="inlineStr">
        <is>
          <t>Pass</t>
        </is>
      </c>
      <c r="J204" s="24" t="n"/>
      <c r="K204" s="24" t="n"/>
      <c r="L204" s="24" t="inlineStr">
        <is>
          <t>DEV (localhost) · PostgreSQL 17.10 ใน Docker (ฐาน nestly_test) · Node.js 22.19 · Windows 11</t>
        </is>
      </c>
      <c r="M204" s="24" t="inlineStr">
        <is>
          <t>Vitest 4.1.11 (อัตโนมัติ)</t>
        </is>
      </c>
      <c r="N204" s="26" t="n">
        <v>46324.78254844685</v>
      </c>
      <c r="O204" s="24" t="inlineStr">
        <is>
          <t>ผลรายเคสอยู่ในไฟล์ JSON ของ Vitest (evidence-api/)</t>
        </is>
      </c>
      <c r="P204" s="24" t="inlineStr">
        <is>
          <t>สคริปต์: tests/integration/resilience-workflows.test.ts
ชื่อเทสต์: upload and subscription enforcement integration allows the configured grace period and enforces read-only afterwards</t>
        </is>
      </c>
    </row>
    <row r="205" ht="60" customHeight="1">
      <c r="A205" s="23" t="inlineStr">
        <is>
          <t>TC_INT_SUB_002</t>
        </is>
      </c>
      <c r="B205" s="24" t="inlineStr">
        <is>
          <t>Subscription Enforcement</t>
        </is>
      </c>
      <c r="C205" s="24" t="inlineStr">
        <is>
          <t>ไม่มีข้อมูลแพ็กเกจต้องปฏิเสธ (Fail-closed)</t>
        </is>
      </c>
      <c r="D205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5" s="24" t="inlineStr">
        <is>
          <t>1. ลบแพ็กเกจของหอ
2. requireActiveSubscription / requireSubscriptionFeature</t>
        </is>
      </c>
      <c r="F205" s="24" t="inlineStr">
        <is>
          <t>ไม่มี PropertySubscription</t>
        </is>
      </c>
      <c r="G205" s="24" t="inlineStr">
        <is>
          <t>ทั้งสองได้ 403</t>
        </is>
      </c>
      <c r="H205" s="24" t="inlineStr">
        <is>
          <t>ผลตรงตามที่คาดหวัง — assertion ผ่านครบ (0.01 วินาที)</t>
        </is>
      </c>
      <c r="I205" s="25" t="inlineStr">
        <is>
          <t>Pass</t>
        </is>
      </c>
      <c r="J205" s="24" t="n"/>
      <c r="K205" s="24" t="n"/>
      <c r="L205" s="24" t="inlineStr">
        <is>
          <t>DEV (localhost) · PostgreSQL 17.10 ใน Docker (ฐาน nestly_test) · Node.js 22.19 · Windows 11</t>
        </is>
      </c>
      <c r="M205" s="24" t="inlineStr">
        <is>
          <t>Vitest 4.1.11 (อัตโนมัติ)</t>
        </is>
      </c>
      <c r="N205" s="26" t="n">
        <v>46324.78254890252</v>
      </c>
      <c r="O205" s="24" t="inlineStr">
        <is>
          <t>ผลรายเคสอยู่ในไฟล์ JSON ของ Vitest (evidence-api/)</t>
        </is>
      </c>
      <c r="P205" s="24" t="inlineStr">
        <is>
          <t>สคริปต์: tests/integration/resilience-workflows.test.ts
ชื่อเทสต์: upload and subscription enforcement integration denies access when the subscription record is missing</t>
        </is>
      </c>
    </row>
    <row r="206" ht="60" customHeight="1">
      <c r="A206" s="23" t="inlineStr">
        <is>
          <t>TC_INT_SAAS_001</t>
        </is>
      </c>
      <c r="B206" s="24" t="inlineStr">
        <is>
          <t>SaaS Dashboard</t>
        </is>
      </c>
      <c r="C206" s="24" t="inlineStr">
        <is>
          <t>กำหนดแพ็กเกจให้หอและแสดงอัตราการใช้งาน</t>
        </is>
      </c>
      <c r="D206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6" s="24" t="inlineStr">
        <is>
          <t>1. assign แพ็กเกจรายเดือน
2. ดึงแดชบอร์ดหอ</t>
        </is>
      </c>
      <c r="F206" s="24" t="inlineStr">
        <is>
          <t>maxRooms = 10</t>
        </is>
      </c>
      <c r="G206" s="24" t="inlineStr">
        <is>
          <t>planId ตรง · maxRooms 10 · ใช้ 0 ห้อง 0%</t>
        </is>
      </c>
      <c r="H206" s="24" t="inlineStr">
        <is>
          <t>ผลตรงตามที่คาดหวัง — assertion ผ่านครบ (0.12 วินาที)</t>
        </is>
      </c>
      <c r="I206" s="25" t="inlineStr">
        <is>
          <t>Pass</t>
        </is>
      </c>
      <c r="J206" s="24" t="n"/>
      <c r="K206" s="24" t="n"/>
      <c r="L206" s="24" t="inlineStr">
        <is>
          <t>DEV (localhost) · PostgreSQL 17.10 ใน Docker (ฐาน nestly_test) · Node.js 22.19 · Windows 11</t>
        </is>
      </c>
      <c r="M206" s="24" t="inlineStr">
        <is>
          <t>Vitest 4.1.11 (อัตโนมัติ)</t>
        </is>
      </c>
      <c r="N206" s="26" t="n">
        <v>46324.78276543981</v>
      </c>
      <c r="O206" s="24" t="inlineStr">
        <is>
          <t>ผลรายเคสอยู่ในไฟล์ JSON ของ Vitest (evidence-api/)</t>
        </is>
      </c>
      <c r="P206" s="24" t="inlineStr">
        <is>
          <t>สคริปต์: tests/integration/saas-dashboard.test.ts
ชื่อเทสต์: SaaS subscription and dashboard integration assigns a plan and exposes its utilization</t>
        </is>
      </c>
    </row>
    <row r="207" ht="60" customHeight="1">
      <c r="A207" s="23" t="inlineStr">
        <is>
          <t>TC_INT_SAAS_002</t>
        </is>
      </c>
      <c r="B207" s="24" t="inlineStr">
        <is>
          <t>SaaS Dashboard</t>
        </is>
      </c>
      <c r="C207" s="24" t="inlineStr">
        <is>
          <t>แดชบอร์ดระบบรวมแพ็กเกจที่ใช้งานและรายได้ต่อเดือน</t>
        </is>
      </c>
      <c r="D207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7" s="24" t="inlineStr">
        <is>
          <t>1. ดึงแดชบอร์ด Super Admin</t>
        </is>
      </c>
      <c r="F207" s="24" t="inlineStr">
        <is>
          <t>แพ็กเกจที่ใช้งาน ≥ 1</t>
        </is>
      </c>
      <c r="G207" s="24" t="inlineStr">
        <is>
          <t>active ≥ 1 · MRR ≥ 500</t>
        </is>
      </c>
      <c r="H207" s="24" t="inlineStr">
        <is>
          <t>ผลตรงตามที่คาดหวัง — assertion ผ่านครบ (0.02 วินาที)</t>
        </is>
      </c>
      <c r="I207" s="25" t="inlineStr">
        <is>
          <t>Pass</t>
        </is>
      </c>
      <c r="J207" s="24" t="n"/>
      <c r="K207" s="24" t="n"/>
      <c r="L207" s="24" t="inlineStr">
        <is>
          <t>DEV (localhost) · PostgreSQL 17.10 ใน Docker (ฐาน nestly_test) · Node.js 22.19 · Windows 11</t>
        </is>
      </c>
      <c r="M207" s="24" t="inlineStr">
        <is>
          <t>Vitest 4.1.11 (อัตโนมัติ)</t>
        </is>
      </c>
      <c r="N207" s="26" t="n">
        <v>46324.78276688204</v>
      </c>
      <c r="O207" s="24" t="inlineStr">
        <is>
          <t>ผลรายเคสอยู่ในไฟล์ JSON ของ Vitest (evidence-api/)</t>
        </is>
      </c>
      <c r="P207" s="24" t="inlineStr">
        <is>
          <t>สคริปต์: tests/integration/saas-dashboard.test.ts
ชื่อเทสต์: SaaS subscription and dashboard integration includes the subscription in platform aggregation</t>
        </is>
      </c>
    </row>
    <row r="208" ht="60" customHeight="1">
      <c r="A208" s="23" t="inlineStr">
        <is>
          <t>TC_INT_RENEW_001</t>
        </is>
      </c>
      <c r="B208" s="24" t="inlineStr">
        <is>
          <t>Subscription Renewal</t>
        </is>
      </c>
      <c r="C208" s="24" t="inlineStr">
        <is>
          <t>ซื้อแพ็กเกจใหม่ แล้วต่ออายุนับจากวันหมดอายุเดิม</t>
        </is>
      </c>
      <c r="D208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8" s="24" t="inlineStr">
        <is>
          <t>1. สร้างคำสั่งซื้อ → ส่งสลิป → อนุมัติ
2. สร้างคำสั่งต่ออายุ → ส่งสลิป → อนุมัติ
3. อนุมัติซ้ำ</t>
        </is>
      </c>
      <c r="F208" s="24" t="inlineStr">
        <is>
          <t>ราคา 990 · รายเดือน</t>
        </is>
      </c>
      <c r="G208" s="24" t="inlineStr">
        <is>
          <t>คำสั่งแรก NEW/PENDING_PAYMENT 990 · หมดอายุ 2026-08-15 · ต่ออายุเป็น 2026-08-15 ถึง 2026-09-15 · อนุมัติซ้ำ 409</t>
        </is>
      </c>
      <c r="H208" s="24" t="inlineStr">
        <is>
          <t>ผลตรงตามที่คาดหวัง — assertion ผ่านครบ (0.15 วินาที)</t>
        </is>
      </c>
      <c r="I208" s="25" t="inlineStr">
        <is>
          <t>Pass</t>
        </is>
      </c>
      <c r="J208" s="24" t="n"/>
      <c r="K208" s="24" t="n"/>
      <c r="L208" s="24" t="inlineStr">
        <is>
          <t>DEV (localhost) · PostgreSQL 17.10 ใน Docker (ฐาน nestly_test) · Node.js 22.19 · Windows 11</t>
        </is>
      </c>
      <c r="M208" s="24" t="inlineStr">
        <is>
          <t>Vitest 4.1.11 (อัตโนมัติ)</t>
        </is>
      </c>
      <c r="N208" s="26" t="n">
        <v>46324.78264287037</v>
      </c>
      <c r="O208" s="24" t="inlineStr">
        <is>
          <t>ผลรายเคสอยู่ในไฟล์ JSON ของ Vitest (evidence-api/)</t>
        </is>
      </c>
      <c r="P208" s="24" t="inlineStr">
        <is>
          <t>สคริปต์: tests/integration/subscription-renewal.test.ts
ชื่อเทสต์: subscription order, payment and renewal lifecycle activates a new order and renews from the existing expiry</t>
        </is>
      </c>
    </row>
    <row r="209" ht="60" customHeight="1">
      <c r="A209" s="23" t="inlineStr">
        <is>
          <t>TC_INT_RENEW_002</t>
        </is>
      </c>
      <c r="B209" s="24" t="inlineStr">
        <is>
          <t>Subscription Renewal</t>
        </is>
      </c>
      <c r="C209" s="24" t="inlineStr">
        <is>
          <t>ปฏิเสธสลิปแล้วคำสั่งกลับไปรอชำระ และแพ็กเกจไม่เปลี่ยน</t>
        </is>
      </c>
      <c r="D209" s="24" t="inlineStr">
        <is>
          <t>ฐานข้อมูลทดสอบ nestly_test (migrate ครบ) · fixture: เจ้าของหอ A, เจ้าของหอ B (คนละหอ), Super Admin, ห้องทดสอบ</t>
        </is>
      </c>
      <c r="E209" s="24" t="inlineStr">
        <is>
          <t>1. ส่งสลิป
2. ปฏิเสธพร้อมเหตุผล</t>
        </is>
      </c>
      <c r="F209" s="24" t="inlineStr">
        <is>
          <t>rejectionNote = "ยอดไม่ตรง"</t>
        </is>
      </c>
      <c r="G209" s="24" t="inlineStr">
        <is>
          <t>คำสั่งซื้อเป็น PENDING_PAYMENT · วันหมดอายุแพ็กเกจเท่าเดิม</t>
        </is>
      </c>
      <c r="H209" s="24" t="inlineStr">
        <is>
          <t>ผลตรงตามที่คาดหวัง — assertion ผ่านครบ (0.05 วินาที)</t>
        </is>
      </c>
      <c r="I209" s="25" t="inlineStr">
        <is>
          <t>Pass</t>
        </is>
      </c>
      <c r="J209" s="24" t="n"/>
      <c r="K209" s="24" t="n"/>
      <c r="L209" s="24" t="inlineStr">
        <is>
          <t>DEV (localhost) · PostgreSQL 17.10 ใน Docker (ฐาน nestly_test) · Node.js 22.19 · Windows 11</t>
        </is>
      </c>
      <c r="M209" s="24" t="inlineStr">
        <is>
          <t>Vitest 4.1.11 (อัตโนมัติ)</t>
        </is>
      </c>
      <c r="N209" s="26" t="n">
        <v>46324.78264457628</v>
      </c>
      <c r="O209" s="24" t="inlineStr">
        <is>
          <t>ผลรายเคสอยู่ในไฟล์ JSON ของ Vitest (evidence-api/)</t>
        </is>
      </c>
      <c r="P209" s="24" t="inlineStr">
        <is>
          <t>สคริปต์: tests/integration/subscription-renewal.test.ts
ชื่อเทสต์: subscription order, payment and renewal lifecycle returns a rejected payment order to payment pending without changing subscription</t>
        </is>
      </c>
    </row>
    <row r="210" ht="60" customHeight="1">
      <c r="A210" s="23" t="inlineStr">
        <is>
          <t>TC_INT_TENANT_001</t>
        </is>
      </c>
      <c r="B210" s="24" t="inlineStr">
        <is>
          <t>Tenant Portal</t>
        </is>
      </c>
      <c r="C210" s="24" t="inlineStr">
        <is>
          <t>ดึงบัญชีผู้เช่าพร้อมห้องที่พัก</t>
        </is>
      </c>
      <c r="D210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0" s="24" t="inlineStr">
        <is>
          <t>1. getTenantAccount()</t>
        </is>
      </c>
      <c r="F210" s="24" t="inlineStr">
        <is>
          <t>ผู้เช่าหลัก</t>
        </is>
      </c>
      <c r="G210" s="24" t="inlineStr">
        <is>
          <t>มีห้องทดสอบในรายการ</t>
        </is>
      </c>
      <c r="H210" s="24" t="inlineStr">
        <is>
          <t>ผลตรงตามที่คาดหวัง — assertion ผ่านครบ (0.02 วินาที)</t>
        </is>
      </c>
      <c r="I210" s="25" t="inlineStr">
        <is>
          <t>Pass</t>
        </is>
      </c>
      <c r="J210" s="24" t="n"/>
      <c r="K210" s="24" t="n"/>
      <c r="L210" s="24" t="inlineStr">
        <is>
          <t>DEV (localhost) · PostgreSQL 17.10 ใน Docker (ฐาน nestly_test) · Node.js 22.19 · Windows 11</t>
        </is>
      </c>
      <c r="M210" s="24" t="inlineStr">
        <is>
          <t>Vitest 4.1.11 (อัตโนมัติ)</t>
        </is>
      </c>
      <c r="N210" s="26" t="n">
        <v>46324.78265768519</v>
      </c>
      <c r="O210" s="24" t="inlineStr">
        <is>
          <t>ผลรายเคสอยู่ในไฟล์ JSON ของ Vitest (evidence-api/)</t>
        </is>
      </c>
      <c r="P210" s="24" t="inlineStr">
        <is>
          <t>สคริปต์: tests/integration/tenant-portal.test.ts
ชื่อเทสต์: tenant portal read model returns the account with its occupancies</t>
        </is>
      </c>
    </row>
    <row r="211" ht="60" customHeight="1">
      <c r="A211" s="23" t="inlineStr">
        <is>
          <t>TC_INT_TENANT_002</t>
        </is>
      </c>
      <c r="B211" s="24" t="inlineStr">
        <is>
          <t>Tenant Portal</t>
        </is>
      </c>
      <c r="C211" s="24" t="inlineStr">
        <is>
          <t>โปรไฟล์ไม่มีจริงต้องตอบว่าไม่พบ</t>
        </is>
      </c>
      <c r="D211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1" s="24" t="inlineStr">
        <is>
          <t>1. getTenantAccount() ด้วยรหัสไม่มีจริง</t>
        </is>
      </c>
      <c r="F211" s="24" t="inlineStr">
        <is>
          <t>cm000000000000000000999</t>
        </is>
      </c>
      <c r="G211" s="24" t="inlineStr">
        <is>
          <t>HTTP 404</t>
        </is>
      </c>
      <c r="H211" s="24" t="inlineStr">
        <is>
          <t>ผลตรงตามที่คาดหวัง — assertion ผ่านครบ (0.01 วินาที)</t>
        </is>
      </c>
      <c r="I211" s="25" t="inlineStr">
        <is>
          <t>Pass</t>
        </is>
      </c>
      <c r="J211" s="24" t="n"/>
      <c r="K211" s="24" t="n"/>
      <c r="L211" s="24" t="inlineStr">
        <is>
          <t>DEV (localhost) · PostgreSQL 17.10 ใน Docker (ฐาน nestly_test) · Node.js 22.19 · Windows 11</t>
        </is>
      </c>
      <c r="M211" s="24" t="inlineStr">
        <is>
          <t>Vitest 4.1.11 (อัตโนมัติ)</t>
        </is>
      </c>
      <c r="N211" s="26" t="n">
        <v>46324.78265788498</v>
      </c>
      <c r="O211" s="24" t="inlineStr">
        <is>
          <t>ผลรายเคสอยู่ในไฟล์ JSON ของ Vitest (evidence-api/)</t>
        </is>
      </c>
      <c r="P211" s="24" t="inlineStr">
        <is>
          <t>สคริปต์: tests/integration/tenant-portal.test.ts
ชื่อเทสต์: tenant portal read model reports a missing profile rather than returning nothing</t>
        </is>
      </c>
    </row>
    <row r="212" ht="60" customHeight="1">
      <c r="A212" s="23" t="inlineStr">
        <is>
          <t>TC_INT_TENANT_003</t>
        </is>
      </c>
      <c r="B212" s="24" t="inlineStr">
        <is>
          <t>Tenant Portal</t>
        </is>
      </c>
      <c r="C212" s="24" t="inlineStr">
        <is>
          <t>แก้โปรไฟล์ของคนอื่นไม่ได้ (IDOR)</t>
        </is>
      </c>
      <c r="D212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2" s="24" t="inlineStr">
        <is>
          <t>1. ผู้พักร่วมแก้โปรไฟล์ของผู้เช่าหลัก</t>
        </is>
      </c>
      <c r="F212" s="24" t="inlineStr">
        <is>
          <t>userId ของผู้พักร่วม</t>
        </is>
      </c>
      <c r="G212" s="24" t="inlineStr">
        <is>
          <t>HTTP 404 · ชื่อยังเป็น "ผู้เช่า primary"</t>
        </is>
      </c>
      <c r="H212" s="24" t="inlineStr">
        <is>
          <t>ผลตรงตามที่คาดหวัง — assertion ผ่านครบ (0.01 วินาที)</t>
        </is>
      </c>
      <c r="I212" s="25" t="inlineStr">
        <is>
          <t>Pass</t>
        </is>
      </c>
      <c r="J212" s="24" t="n"/>
      <c r="K212" s="24" t="n"/>
      <c r="L212" s="24" t="inlineStr">
        <is>
          <t>DEV (localhost) · PostgreSQL 17.10 ใน Docker (ฐาน nestly_test) · Node.js 22.19 · Windows 11</t>
        </is>
      </c>
      <c r="M212" s="24" t="inlineStr">
        <is>
          <t>Vitest 4.1.11 (อัตโนมัติ)</t>
        </is>
      </c>
      <c r="N212" s="26" t="n">
        <v>46324.78265795908</v>
      </c>
      <c r="O212" s="24" t="inlineStr">
        <is>
          <t>ผลรายเคสอยู่ในไฟล์ JSON ของ Vitest (evidence-api/)</t>
        </is>
      </c>
      <c r="P212" s="24" t="inlineStr">
        <is>
          <t>สคริปต์: tests/integration/tenant-portal.test.ts
ชื่อเทสต์: tenant portal read model refuses to update a profile that belongs to someone else</t>
        </is>
      </c>
    </row>
    <row r="213" ht="60" customHeight="1">
      <c r="A213" s="23" t="inlineStr">
        <is>
          <t>TC_INT_TENANT_004</t>
        </is>
      </c>
      <c r="B213" s="24" t="inlineStr">
        <is>
          <t>Tenant Portal</t>
        </is>
      </c>
      <c r="C213" s="24" t="inlineStr">
        <is>
          <t>เจ้าของโปรไฟล์แก้ชื่อและเบอร์พร้อมกันได้</t>
        </is>
      </c>
      <c r="D213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3" s="24" t="inlineStr">
        <is>
          <t>1. updateTenantAccount() โดยเจ้าของ</t>
        </is>
      </c>
      <c r="F213" s="24" t="inlineStr">
        <is>
          <t>ชื่อใหม่ · 0899998888</t>
        </is>
      </c>
      <c r="G213" s="24" t="inlineStr">
        <is>
          <t>ชื่อและเบอร์ถูกบันทึก</t>
        </is>
      </c>
      <c r="H213" s="24" t="inlineStr">
        <is>
          <t>ผลตรงตามที่คาดหวัง — assertion ผ่านครบ (0.02 วินาที)</t>
        </is>
      </c>
      <c r="I213" s="25" t="inlineStr">
        <is>
          <t>Pass</t>
        </is>
      </c>
      <c r="J213" s="24" t="n"/>
      <c r="K213" s="24" t="n"/>
      <c r="L213" s="24" t="inlineStr">
        <is>
          <t>DEV (localhost) · PostgreSQL 17.10 ใน Docker (ฐาน nestly_test) · Node.js 22.19 · Windows 11</t>
        </is>
      </c>
      <c r="M213" s="24" t="inlineStr">
        <is>
          <t>Vitest 4.1.11 (อัตโนมัติ)</t>
        </is>
      </c>
      <c r="N213" s="26" t="n">
        <v>46324.78265805517</v>
      </c>
      <c r="O213" s="24" t="inlineStr">
        <is>
          <t>ผลรายเคสอยู่ในไฟล์ JSON ของ Vitest (evidence-api/)</t>
        </is>
      </c>
      <c r="P213" s="24" t="inlineStr">
        <is>
          <t>สคริปต์: tests/integration/tenant-portal.test.ts
ชื่อเทสต์: tenant portal read model updates the name and profile together for the rightful owner</t>
        </is>
      </c>
    </row>
    <row r="214" ht="60" customHeight="1">
      <c r="A214" s="23" t="inlineStr">
        <is>
          <t>TC_INT_TENANT_005</t>
        </is>
      </c>
      <c r="B214" s="24" t="inlineStr">
        <is>
          <t>Tenant Portal</t>
        </is>
      </c>
      <c r="C214" s="24" t="inlineStr">
        <is>
          <t>ดึงห้องที่ผู้เช่าพักจริง</t>
        </is>
      </c>
      <c r="D214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4" s="24" t="inlineStr">
        <is>
          <t>1. getTenantRoom() ห้องตัวเอง</t>
        </is>
      </c>
      <c r="F214" s="24" t="inlineStr">
        <is>
          <t>roomId ห้องทดสอบ</t>
        </is>
      </c>
      <c r="G214" s="24" t="inlineStr">
        <is>
          <t>ได้เลขห้องถูกต้อง</t>
        </is>
      </c>
      <c r="H214" s="24" t="inlineStr">
        <is>
          <t>ผลตรงตามที่คาดหวัง — assertion ผ่านครบ (0.03 วินาที)</t>
        </is>
      </c>
      <c r="I214" s="25" t="inlineStr">
        <is>
          <t>Pass</t>
        </is>
      </c>
      <c r="J214" s="24" t="n"/>
      <c r="K214" s="24" t="n"/>
      <c r="L214" s="24" t="inlineStr">
        <is>
          <t>DEV (localhost) · PostgreSQL 17.10 ใน Docker (ฐาน nestly_test) · Node.js 22.19 · Windows 11</t>
        </is>
      </c>
      <c r="M214" s="24" t="inlineStr">
        <is>
          <t>Vitest 4.1.11 (อัตโนมัติ)</t>
        </is>
      </c>
      <c r="N214" s="26" t="n">
        <v>46324.7826583382</v>
      </c>
      <c r="O214" s="24" t="inlineStr">
        <is>
          <t>ผลรายเคสอยู่ในไฟล์ JSON ของ Vitest (evidence-api/)</t>
        </is>
      </c>
      <c r="P214" s="24" t="inlineStr">
        <is>
          <t>สคริปต์: tests/integration/tenant-portal.test.ts
ชื่อเทสต์: tenant portal read model returns the room the tenant actually lives in</t>
        </is>
      </c>
    </row>
    <row r="215" ht="60" customHeight="1">
      <c r="A215" s="23" t="inlineStr">
        <is>
          <t>TC_INT_TENANT_006</t>
        </is>
      </c>
      <c r="B215" s="24" t="inlineStr">
        <is>
          <t>Tenant Portal</t>
        </is>
      </c>
      <c r="C215" s="24" t="inlineStr">
        <is>
          <t>อ่านห้องที่ไม่ได้พักไม่ได้ (IDOR)</t>
        </is>
      </c>
      <c r="D215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5" s="24" t="inlineStr">
        <is>
          <t>1. สร้างห้องอื่น
2. getTenantRoom() ห้องนั้น</t>
        </is>
      </c>
      <c r="F215" s="24" t="inlineStr">
        <is>
          <t>roomId ห้องอื่น</t>
        </is>
      </c>
      <c r="G215" s="24" t="inlineStr">
        <is>
          <t>HTTP 404</t>
        </is>
      </c>
      <c r="H215" s="24" t="inlineStr">
        <is>
          <t>ผลตรงตามที่คาดหวัง — assertion ผ่านครบ (0.00 วินาที)</t>
        </is>
      </c>
      <c r="I215" s="25" t="inlineStr">
        <is>
          <t>Pass</t>
        </is>
      </c>
      <c r="J215" s="24" t="n"/>
      <c r="K215" s="24" t="n"/>
      <c r="L215" s="24" t="inlineStr">
        <is>
          <t>DEV (localhost) · PostgreSQL 17.10 ใน Docker (ฐาน nestly_test) · Node.js 22.19 · Windows 11</t>
        </is>
      </c>
      <c r="M215" s="24" t="inlineStr">
        <is>
          <t>Vitest 4.1.11 (อัตโนมัติ)</t>
        </is>
      </c>
      <c r="N215" s="26" t="n">
        <v>46324.78265864625</v>
      </c>
      <c r="O215" s="24" t="inlineStr">
        <is>
          <t>ผลรายเคสอยู่ในไฟล์ JSON ของ Vitest (evidence-api/)</t>
        </is>
      </c>
      <c r="P215" s="24" t="inlineStr">
        <is>
          <t>สคริปต์: tests/integration/tenant-portal.test.ts
ชื่อเทสต์: tenant portal read model cannot read a room the tenant does not occupy</t>
        </is>
      </c>
    </row>
    <row r="216" ht="60" customHeight="1">
      <c r="A216" s="23" t="inlineStr">
        <is>
          <t>TC_INT_TENANT_007</t>
        </is>
      </c>
      <c r="B216" s="24" t="inlineStr">
        <is>
          <t>Tenant Portal</t>
        </is>
      </c>
      <c r="C216" s="24" t="inlineStr">
        <is>
          <t>นับการแจ้งเตือนของผู้เช่าหลัก</t>
        </is>
      </c>
      <c r="D216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6" s="24" t="inlineStr">
        <is>
          <t>1. ดึงสรุปการแจ้งเตือน</t>
        </is>
      </c>
      <c r="F216" s="24" t="inlineStr">
        <is>
          <t>ผู้เช่าหลัก</t>
        </is>
      </c>
      <c r="G216" s="24" t="inlineStr">
        <is>
          <t>ได้จำนวนแจ้งเตือนตามข้อมูล</t>
        </is>
      </c>
      <c r="H216" s="24" t="inlineStr">
        <is>
          <t>ผลตรงตามที่คาดหวัง — assertion ผ่านครบ (0.05 วินาที)</t>
        </is>
      </c>
      <c r="I216" s="25" t="inlineStr">
        <is>
          <t>Pass</t>
        </is>
      </c>
      <c r="J216" s="24" t="n"/>
      <c r="K216" s="24" t="n"/>
      <c r="L216" s="24" t="inlineStr">
        <is>
          <t>DEV (localhost) · PostgreSQL 17.10 ใน Docker (ฐาน nestly_test) · Node.js 22.19 · Windows 11</t>
        </is>
      </c>
      <c r="M216" s="24" t="inlineStr">
        <is>
          <t>Vitest 4.1.11 (อัตโนมัติ)</t>
        </is>
      </c>
      <c r="N216" s="26" t="n">
        <v>46324.7826586865</v>
      </c>
      <c r="O216" s="24" t="inlineStr">
        <is>
          <t>ผลรายเคสอยู่ในไฟล์ JSON ของ Vitest (evidence-api/)</t>
        </is>
      </c>
      <c r="P216" s="24" t="inlineStr">
        <is>
          <t>สคริปต์: tests/integration/tenant-portal.test.ts
ชื่อเทสต์: tenant portal read model counts notifications for a primary tenant</t>
        </is>
      </c>
    </row>
    <row r="217" ht="60" customHeight="1">
      <c r="A217" s="23" t="inlineStr">
        <is>
          <t>TC_INT_TENANT_008</t>
        </is>
      </c>
      <c r="B217" s="24" t="inlineStr">
        <is>
          <t>Tenant Portal</t>
        </is>
      </c>
      <c r="C217" s="24" t="inlineStr">
        <is>
          <t>ผู้พักร่วมไม่เห็นยอดบิลค้าง</t>
        </is>
      </c>
      <c r="D217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7" s="24" t="inlineStr">
        <is>
          <t>1. ดึงสรุปของผู้พักร่วม</t>
        </is>
      </c>
      <c r="F217" s="24" t="inlineStr">
        <is>
          <t>role = CO_OCCUPANT</t>
        </is>
      </c>
      <c r="G217" s="24" t="inlineStr">
        <is>
          <t>unpaidInvoices = 0</t>
        </is>
      </c>
      <c r="H217" s="24" t="inlineStr">
        <is>
          <t>ผลตรงตามที่คาดหวัง — assertion ผ่านครบ (0.01 วินาที)</t>
        </is>
      </c>
      <c r="I217" s="25" t="inlineStr">
        <is>
          <t>Pass</t>
        </is>
      </c>
      <c r="J217" s="24" t="n"/>
      <c r="K217" s="24" t="n"/>
      <c r="L217" s="24" t="inlineStr">
        <is>
          <t>DEV (localhost) · PostgreSQL 17.10 ใน Docker (ฐาน nestly_test) · Node.js 22.19 · Windows 11</t>
        </is>
      </c>
      <c r="M217" s="24" t="inlineStr">
        <is>
          <t>Vitest 4.1.11 (อัตโนมัติ)</t>
        </is>
      </c>
      <c r="N217" s="26" t="n">
        <v>46324.7826592456</v>
      </c>
      <c r="O217" s="24" t="inlineStr">
        <is>
          <t>ผลรายเคสอยู่ในไฟล์ JSON ของ Vitest (evidence-api/)</t>
        </is>
      </c>
      <c r="P217" s="24" t="inlineStr">
        <is>
          <t>สคริปต์: tests/integration/tenant-portal.test.ts
ชื่อเทสต์: tenant portal read model reports no unpaid invoices for a co-occupant</t>
        </is>
      </c>
    </row>
    <row r="218" ht="60" customHeight="1">
      <c r="A218" s="23" t="inlineStr">
        <is>
          <t>TC_INT_TENANT_009</t>
        </is>
      </c>
      <c r="B218" s="24" t="inlineStr">
        <is>
          <t>Tenant Portal</t>
        </is>
      </c>
      <c r="C218" s="24" t="inlineStr">
        <is>
          <t>ผู้เช่าหลักดูรายการบิลได้</t>
        </is>
      </c>
      <c r="D218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8" s="24" t="inlineStr">
        <is>
          <t>1. listTenantInvoices() ผู้เช่าหลัก</t>
        </is>
      </c>
      <c r="F218" s="24" t="inlineStr">
        <is>
          <t>role = PRIMARY</t>
        </is>
      </c>
      <c r="G218" s="24" t="inlineStr">
        <is>
          <t>ได้รายการบิล (array)</t>
        </is>
      </c>
      <c r="H218" s="24" t="inlineStr">
        <is>
          <t>ผลตรงตามที่คาดหวัง — assertion ผ่านครบ (0.02 วินาที)</t>
        </is>
      </c>
      <c r="I218" s="25" t="inlineStr">
        <is>
          <t>Pass</t>
        </is>
      </c>
      <c r="J218" s="24" t="n"/>
      <c r="K218" s="24" t="n"/>
      <c r="L218" s="24" t="inlineStr">
        <is>
          <t>DEV (localhost) · PostgreSQL 17.10 ใน Docker (ฐาน nestly_test) · Node.js 22.19 · Windows 11</t>
        </is>
      </c>
      <c r="M218" s="24" t="inlineStr">
        <is>
          <t>Vitest 4.1.11 (อัตโนมัติ)</t>
        </is>
      </c>
      <c r="N218" s="26" t="n">
        <v>46324.78265935268</v>
      </c>
      <c r="O218" s="24" t="inlineStr">
        <is>
          <t>ผลรายเคสอยู่ในไฟล์ JSON ของ Vitest (evidence-api/)</t>
        </is>
      </c>
      <c r="P218" s="24" t="inlineStr">
        <is>
          <t>สคริปต์: tests/integration/tenant-portal.test.ts
ชื่อเทสต์: tenant portal read model lists invoices for the primary tenant</t>
        </is>
      </c>
    </row>
    <row r="219" ht="60" customHeight="1">
      <c r="A219" s="23" t="inlineStr">
        <is>
          <t>TC_INT_TENANT_010</t>
        </is>
      </c>
      <c r="B219" s="24" t="inlineStr">
        <is>
          <t>Tenant Portal</t>
        </is>
      </c>
      <c r="C219" s="24" t="inlineStr">
        <is>
          <t>ผู้พักร่วมดูรายการบิลไม่ได้</t>
        </is>
      </c>
      <c r="D219" s="24" t="inlineStr">
        <is>
          <t>ฐานข้อมูลทดสอบ nestly_test (migrate ครบ) · fixture: เจ้าของหอ A, เจ้าของหอ B (คนละหอ), Super Admin, ห้องทดสอบ · ผู้เช่าหลักและผู้พักร่วมของห้องทดสอบ</t>
        </is>
      </c>
      <c r="E219" s="24" t="inlineStr">
        <is>
          <t>1. listTenantInvoices() ผู้พักร่วม</t>
        </is>
      </c>
      <c r="F219" s="24" t="inlineStr">
        <is>
          <t>role = CO_OCCUPANT</t>
        </is>
      </c>
      <c r="G219" s="24" t="inlineStr">
        <is>
          <t>HTTP 403</t>
        </is>
      </c>
      <c r="H219" s="24" t="inlineStr">
        <is>
          <t>ผลตรงตามที่คาดหวัง — assertion ผ่านครบ (0.00 วินาที)</t>
        </is>
      </c>
      <c r="I219" s="25" t="inlineStr">
        <is>
          <t>Pass</t>
        </is>
      </c>
      <c r="J219" s="24" t="n"/>
      <c r="K219" s="24" t="n"/>
      <c r="L219" s="24" t="inlineStr">
        <is>
          <t>DEV (localhost) · PostgreSQL 17.10 ใน Docker (ฐาน nestly_test) · Node.js 22.19 · Windows 11</t>
        </is>
      </c>
      <c r="M219" s="24" t="inlineStr">
        <is>
          <t>Vitest 4.1.11 (อัตโนมัติ)</t>
        </is>
      </c>
      <c r="N219" s="26" t="n">
        <v>46324.7826595474</v>
      </c>
      <c r="O219" s="24" t="inlineStr">
        <is>
          <t>ผลรายเคสอยู่ในไฟล์ JSON ของ Vitest (evidence-api/)</t>
        </is>
      </c>
      <c r="P219" s="24" t="inlineStr">
        <is>
          <t>สคริปต์: tests/integration/tenant-portal.test.ts
ชื่อเทสต์: tenant portal read model refuses to list invoices for a co-occupant</t>
        </is>
      </c>
    </row>
  </sheetData>
  <autoFilter ref="A2:P219"/>
  <mergeCells count="3">
    <mergeCell ref="L1:P1"/>
    <mergeCell ref="H1:K1"/>
    <mergeCell ref="A1:G1"/>
  </mergeCells>
  <conditionalFormatting sqref="I3:I300">
    <cfRule type="expression" priority="1" dxfId="1">
      <formula>$I3="Pass"</formula>
    </cfRule>
    <cfRule type="expression" priority="2" dxfId="0">
      <formula>$I3="Fail"</formula>
    </cfRule>
    <cfRule type="expression" priority="3" dxfId="2">
      <formula>$I3="Block"</formula>
    </cfRule>
    <cfRule type="expression" priority="4" dxfId="3">
      <formula>$I3="Untested"</formula>
    </cfRule>
  </conditionalFormatting>
  <dataValidations count="2">
    <dataValidation sqref="I3:I300" showDropDown="0" showInputMessage="0" showErrorMessage="1" allowBlank="0" errorTitle="Status" error="เลือก Pass / Fail / Block / Untested" type="list">
      <formula1>"Pass,Fail,Block,Untested"</formula1>
    </dataValidation>
    <dataValidation sqref="K3:K300" showDropDown="0" showInputMessage="0" showErrorMessage="0" allowBlank="1" type="list">
      <formula1>"Critical / P1,High / P1,High / P2,Medium / P2,Medium / P3,Low / P3"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>
      <c r="A1" s="27" t="inlineStr">
        <is>
          <t>รายการข้อบกพร่อง (Defect Log) — ออก Defect ID เฉพาะเคสที่วิเคราะห์แล้วว่าเป็นบัคของระบบ</t>
        </is>
      </c>
    </row>
    <row r="2" ht="30" customHeight="1">
      <c r="A2" s="21" t="inlineStr">
        <is>
          <t>Defect ID</t>
        </is>
      </c>
      <c r="B2" s="21" t="inlineStr">
        <is>
          <t>Test Case ID</t>
        </is>
      </c>
      <c r="C2" s="21" t="inlineStr">
        <is>
          <t>Title</t>
        </is>
      </c>
      <c r="D2" s="21" t="inlineStr">
        <is>
          <t>Severity</t>
        </is>
      </c>
      <c r="E2" s="21" t="inlineStr">
        <is>
          <t>Priority</t>
        </is>
      </c>
      <c r="F2" s="21" t="inlineStr">
        <is>
          <t>Steps to Reproduce</t>
        </is>
      </c>
      <c r="G2" s="21" t="inlineStr">
        <is>
          <t>Expected Result</t>
        </is>
      </c>
      <c r="H2" s="21" t="inlineStr">
        <is>
          <t>Actual Result</t>
        </is>
      </c>
      <c r="I2" s="21" t="inlineStr">
        <is>
          <t>ผลกระทบต่อผู้ใช้</t>
        </is>
      </c>
      <c r="J2" s="21" t="inlineStr">
        <is>
          <t>แนวทางแก้ (Suggested Fix)</t>
        </is>
      </c>
      <c r="K2" s="21" t="inlineStr">
        <is>
          <t>ไฟล์ที่เกี่ยวข้อง</t>
        </is>
      </c>
      <c r="L2" s="21" t="inlineStr">
        <is>
          <t>Evidence (ตอนพบบัค)</t>
        </is>
      </c>
      <c r="M2" s="21" t="inlineStr">
        <is>
          <t>Found Date</t>
        </is>
      </c>
      <c r="N2" s="21" t="inlineStr">
        <is>
          <t>Defect Status</t>
        </is>
      </c>
      <c r="O2" s="21" t="inlineStr">
        <is>
          <t>การแก้ไขที่ทำ</t>
        </is>
      </c>
      <c r="P2" s="21" t="inlineStr">
        <is>
          <t>ผลทดสอบซ้ำ (Retest)</t>
        </is>
      </c>
      <c r="Q2" s="21" t="inlineStr">
        <is>
          <t>หลักฐานหลังแก้</t>
        </is>
      </c>
    </row>
    <row r="3" ht="22" customHeight="1">
      <c r="A3" s="4" t="inlineStr">
        <is>
          <t>รอบนี้ไม่พบข้อบกพร่อง — ทุกเคสผ่าน (ถ้ารันรอบใหม่แล้วมีเคส Fail ให้วิเคราะห์ก่อนออก Defect ID)</t>
        </is>
      </c>
    </row>
  </sheetData>
  <mergeCells count="2">
    <mergeCell ref="A3:Q3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8" customWidth="1" min="3" max="3"/>
    <col width="40" customWidth="1" min="4" max="4"/>
    <col width="10" customWidth="1" min="5" max="5"/>
    <col width="52" customWidth="1" min="6" max="6"/>
  </cols>
  <sheetData>
    <row r="1">
      <c r="A1" s="28" t="inlineStr">
        <is>
          <t>ช่องว่างของชุดทดสอบ — สิ่งที่ยังไม่ได้ทดสอบหรือทดสอบได้ไม่เต็มที่ และคำแนะนำ</t>
        </is>
      </c>
    </row>
    <row r="2">
      <c r="A2" s="20" t="inlineStr">
        <is>
          <t>ID</t>
        </is>
      </c>
      <c r="B2" s="20" t="inlineStr">
        <is>
          <t>หมวด</t>
        </is>
      </c>
      <c r="C2" s="20" t="inlineStr">
        <is>
          <t>สิ่งที่ยังขาด</t>
        </is>
      </c>
      <c r="D2" s="20" t="inlineStr">
        <is>
          <t>ผลกระทบถ้าเกิดปัญหา</t>
        </is>
      </c>
      <c r="E2" s="20" t="inlineStr">
        <is>
          <t>ระดับ</t>
        </is>
      </c>
      <c r="F2" s="20" t="inlineStr">
        <is>
          <t>คำแนะนำ</t>
        </is>
      </c>
    </row>
    <row r="3" ht="48" customHeight="1">
      <c r="A3" s="25" t="inlineStr">
        <is>
          <t>GAP-01</t>
        </is>
      </c>
      <c r="B3" s="24" t="inlineStr">
        <is>
          <t>Security</t>
        </is>
      </c>
      <c r="C3" s="24" t="inlineStr">
        <is>
          <t>ยังไม่มีเทสต์ที่ไล่ตรวจสิทธิ์ทุก endpoint (ทุก method × ทุกบทบาท) แบบอัตโนมัติ ตอนนี้ตรวจเป็นจุด ๆ</t>
        </is>
      </c>
      <c r="D3" s="24" t="inlineStr">
        <is>
          <t>endpoint ใหม่ที่ลืมใส่การตรวจสิทธิ์จะไม่มีเทสต์จับได้</t>
        </is>
      </c>
      <c r="E3" s="29" t="inlineStr">
        <is>
          <t>High</t>
        </is>
      </c>
      <c r="F3" s="24" t="inlineStr">
        <is>
          <t>สร้างเทสต์ที่อ่านรายการ route จาก app/api แล้วยิงด้วยทุกบทบาท เทียบกับตารางสิทธิ์ที่คาดหวัง</t>
        </is>
      </c>
    </row>
    <row r="4" ht="48" customHeight="1">
      <c r="A4" s="25" t="inlineStr">
        <is>
          <t>GAP-02</t>
        </is>
      </c>
      <c r="B4" s="24" t="inlineStr">
        <is>
          <t>Cross-browser</t>
        </is>
      </c>
      <c r="C4" s="24" t="inlineStr">
        <is>
          <t>E2E รันเฉพาะ Chromium</t>
        </is>
      </c>
      <c r="D4" s="24" t="inlineStr">
        <is>
          <t>ผู้ใช้ Safari บน iPhone อาจเจอปัญหาที่ไม่ถูกตรวจ</t>
        </is>
      </c>
      <c r="E4" s="29" t="inlineStr">
        <is>
          <t>Medium</t>
        </is>
      </c>
      <c r="F4" s="24" t="inlineStr">
        <is>
          <t>เพิ่ม project webkit และ firefox ใน playwright.config.ts อย่างน้อยสำหรับเส้นทางหลัก</t>
        </is>
      </c>
    </row>
    <row r="5" ht="48" customHeight="1">
      <c r="A5" s="25" t="inlineStr">
        <is>
          <t>GAP-03</t>
        </is>
      </c>
      <c r="B5" s="24" t="inlineStr">
        <is>
          <t>Performance</t>
        </is>
      </c>
      <c r="C5" s="24" t="inlineStr">
        <is>
          <t>ไม่มีการทดสอบโหลดหรือเวลาตอบของ API</t>
        </is>
      </c>
      <c r="D5" s="24" t="inlineStr">
        <is>
          <t>ไม่รู้ขีดจำกัดเมื่อมีผู้ใช้พร้อมกันจำนวนมาก</t>
        </is>
      </c>
      <c r="E5" s="29" t="inlineStr">
        <is>
          <t>Medium</t>
        </is>
      </c>
      <c r="F5" s="24" t="inlineStr">
        <is>
          <t>ใช้ k6 หรือ autocannon ยิง endpoint หลักบนเครื่อง staging</t>
        </is>
      </c>
    </row>
    <row r="6" ht="48" customHeight="1">
      <c r="A6" s="25" t="inlineStr">
        <is>
          <t>GAP-04</t>
        </is>
      </c>
      <c r="B6" s="24" t="inlineStr">
        <is>
          <t>Mobile</t>
        </is>
      </c>
      <c r="C6" s="24" t="inlineStr">
        <is>
          <t>ทดสอบมือถือด้วยการจำลองขนาดจอ ไม่ใช่อุปกรณ์จริง</t>
        </is>
      </c>
      <c r="D6" s="24" t="inlineStr">
        <is>
          <t>ปัญหาเฉพาะอุปกรณ์ (คีย์บอร์ดเสมือน, safe area) ไม่ถูกตรวจ</t>
        </is>
      </c>
      <c r="E6" s="29" t="inlineStr">
        <is>
          <t>Low</t>
        </is>
      </c>
      <c r="F6" s="24" t="inlineStr">
        <is>
          <t>ทดสอบด้วยมือบนมือถือจริงก่อนส่งงาน หรือใช้บริการอุปกรณ์จริงบนคลาวด์</t>
        </is>
      </c>
    </row>
    <row r="7" ht="48" customHeight="1">
      <c r="A7" s="25" t="inlineStr">
        <is>
          <t>GAP-05</t>
        </is>
      </c>
      <c r="B7" s="24" t="inlineStr">
        <is>
          <t>Coverage</t>
        </is>
      </c>
      <c r="C7" s="24" t="inlineStr">
        <is>
          <t>รายงานนี้ไม่ได้วัด code coverage</t>
        </is>
      </c>
      <c r="D7" s="24" t="inlineStr">
        <is>
          <t>ไม่รู้ว่าโค้ดส่วนไหนไม่มีเทสต์ครอบ</t>
        </is>
      </c>
      <c r="E7" s="29" t="inlineStr">
        <is>
          <t>Low</t>
        </is>
      </c>
      <c r="F7" s="24" t="inlineStr">
        <is>
          <t>รัน npm run test:coverage และ test:coverage:integration แล้วดูผลใน SonarQube</t>
        </is>
      </c>
    </row>
    <row r="8" ht="48" customHeight="1">
      <c r="A8" s="25" t="inlineStr">
        <is>
          <t>GAP-06</t>
        </is>
      </c>
      <c r="B8" s="24" t="inlineStr">
        <is>
          <t>Storage</t>
        </is>
      </c>
      <c r="C8" s="24" t="inlineStr">
        <is>
          <t>S3 ทดสอบด้วยการจำลอง ไม่ได้ต่อบริการจริง</t>
        </is>
      </c>
      <c r="D8" s="24" t="inlineStr">
        <is>
          <t>ค่าตั้ง bucket หรือสิทธิ์ผิดบนระบบจริงจะไม่ถูกตรวจ</t>
        </is>
      </c>
      <c r="E8" s="29" t="inlineStr">
        <is>
          <t>Low</t>
        </is>
      </c>
      <c r="F8" s="24" t="inlineStr">
        <is>
          <t>เพิ่ม smoke test หลัง deploy ที่อัปโหลดและลบไฟล์ทดสอบหนึ่งไฟล์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2026-10-29T12:55:32Z</dcterms:created>
  <dcterms:modified xmlns:dcterms="http://purl.org/dc/terms/" xmlns:xsi="http://www.w3.org/2001/XMLSchema-instance" xsi:type="dcterms:W3CDTF">2026-10-29T12:55:32Z</dcterms:modified>
</cp:coreProperties>
</file>